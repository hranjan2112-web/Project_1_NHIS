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drawings/drawing4.xml" ContentType="application/vnd.openxmlformats-officedocument.drawing+xml"/>
  <Override PartName="/xl/tables/table5.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b07ea3786e2aa9eb/Desktop/Bike_Sharing_Excel_Project_NextHikes/"/>
    </mc:Choice>
  </mc:AlternateContent>
  <xr:revisionPtr revIDLastSave="280" documentId="11_F25DC773A252ABDACC104855495E516A5ADE58E1" xr6:coauthVersionLast="47" xr6:coauthVersionMax="47" xr10:uidLastSave="{0FB26057-2876-4C75-AF4A-0CC3FD4B10C8}"/>
  <bookViews>
    <workbookView xWindow="-108" yWindow="-108" windowWidth="23256" windowHeight="13896" activeTab="3" xr2:uid="{00000000-000D-0000-FFFF-FFFF00000000}"/>
  </bookViews>
  <sheets>
    <sheet name="dataset_3" sheetId="4" r:id="rId1"/>
    <sheet name="dataset_2" sheetId="3" r:id="rId2"/>
    <sheet name="dataset_1" sheetId="2" r:id="rId3"/>
    <sheet name="Bar Chart for Casual Chart" sheetId="11" r:id="rId4"/>
    <sheet name="Clustered Column Chart " sheetId="12" r:id="rId5"/>
    <sheet name="Heatmap Chart" sheetId="13" r:id="rId6"/>
    <sheet name="Stacked Bar Chart" sheetId="14" r:id="rId7"/>
    <sheet name="Merged_Dataset" sheetId="5" r:id="rId8"/>
    <sheet name="Forecast Sheet 2" sheetId="17" r:id="rId9"/>
    <sheet name="Forecast Sheet" sheetId="16" r:id="rId10"/>
    <sheet name="Column Chart " sheetId="10" r:id="rId11"/>
    <sheet name="Linechart" sheetId="6" r:id="rId12"/>
  </sheets>
  <definedNames>
    <definedName name="ExternalData_1" localSheetId="2" hidden="1">dataset_1!$A$1:$J$611</definedName>
    <definedName name="ExternalData_1" localSheetId="7" hidden="1">Merged_Dataset!$A$1:$P$608</definedName>
    <definedName name="ExternalData_2" localSheetId="1" hidden="1">dataset_2!$A$1:$H$1000</definedName>
    <definedName name="ExternalData_3" localSheetId="0" hidden="1">dataset_3!$A$1:$P$391</definedName>
    <definedName name="Slicer_dataset_2.cnt">#N/A</definedName>
    <definedName name="Slicer_hr">#N/A</definedName>
  </definedNames>
  <calcPr calcId="191029"/>
  <pivotCaches>
    <pivotCache cacheId="2" r:id="rId13"/>
    <pivotCache cacheId="2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12" i="5" l="1"/>
  <c r="I611" i="5"/>
  <c r="C30" i="17"/>
  <c r="C42" i="17"/>
  <c r="C32" i="17"/>
  <c r="C31" i="17"/>
  <c r="C43" i="17"/>
  <c r="C33" i="17"/>
  <c r="C35" i="17"/>
  <c r="C34" i="17"/>
  <c r="C36" i="17"/>
  <c r="C37" i="17"/>
  <c r="C38" i="17"/>
  <c r="C39" i="17"/>
  <c r="C41" i="17"/>
  <c r="C40" i="17"/>
  <c r="D40" i="17"/>
  <c r="E34" i="17"/>
  <c r="D42" i="17"/>
  <c r="D34" i="17"/>
  <c r="E42" i="17"/>
  <c r="D41" i="17"/>
  <c r="D35" i="17"/>
  <c r="D30" i="17"/>
  <c r="E41" i="17"/>
  <c r="E35" i="17"/>
  <c r="E30" i="17"/>
  <c r="D43" i="17"/>
  <c r="E43" i="17"/>
  <c r="D37" i="17"/>
  <c r="E37" i="17"/>
  <c r="E36" i="17"/>
  <c r="E40" i="17"/>
  <c r="D36" i="17"/>
  <c r="D39" i="17"/>
  <c r="E33" i="17"/>
  <c r="E39" i="17"/>
  <c r="D33" i="17"/>
  <c r="E38" i="17"/>
  <c r="D38" i="17"/>
  <c r="E31" i="17"/>
  <c r="D31" i="17"/>
  <c r="D32" i="17"/>
  <c r="E32"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3F76FE-5A2B-459F-8294-6EB6CC1E63E8}" keepAlive="1" name="Query - dataset_1" description="Connection to the 'dataset_1' query in the workbook." type="5" refreshedVersion="8" background="1" saveData="1">
    <dbPr connection="Provider=Microsoft.Mashup.OleDb.1;Data Source=$Workbook$;Location=dataset_1;Extended Properties=&quot;&quot;" command="SELECT * FROM [dataset_1]"/>
  </connection>
  <connection id="2" xr16:uid="{9657BBE5-A8A0-463C-BA9E-5486018F3330}" keepAlive="1" name="Query - dataset_2" description="Connection to the 'dataset_2' query in the workbook." type="5" refreshedVersion="8" background="1" saveData="1">
    <dbPr connection="Provider=Microsoft.Mashup.OleDb.1;Data Source=$Workbook$;Location=dataset_2;Extended Properties=&quot;&quot;" command="SELECT * FROM [dataset_2]"/>
  </connection>
  <connection id="3" xr16:uid="{1EAFA995-FBE3-4BBF-A4C2-0C55F01EB977}" keepAlive="1" name="Query - dataset_3" description="Connection to the 'dataset_3' query in the workbook." type="5" refreshedVersion="8" background="1" saveData="1">
    <dbPr connection="Provider=Microsoft.Mashup.OleDb.1;Data Source=$Workbook$;Location=dataset_3;Extended Properties=&quot;&quot;" command="SELECT * FROM [dataset_3]"/>
  </connection>
  <connection id="4" xr16:uid="{BA718970-3367-4FEA-9B63-5FB732862FED}"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s>
</file>

<file path=xl/sharedStrings.xml><?xml version="1.0" encoding="utf-8"?>
<sst xmlns="http://schemas.openxmlformats.org/spreadsheetml/2006/main" count="91" uniqueCount="41">
  <si>
    <t>instant</t>
  </si>
  <si>
    <t>dteday</t>
  </si>
  <si>
    <t>season</t>
  </si>
  <si>
    <t>yr</t>
  </si>
  <si>
    <t>mnth</t>
  </si>
  <si>
    <t>hr</t>
  </si>
  <si>
    <t>holiday</t>
  </si>
  <si>
    <t>weekday</t>
  </si>
  <si>
    <t>weathersit</t>
  </si>
  <si>
    <t>temp</t>
  </si>
  <si>
    <t>Unnamed: 0</t>
  </si>
  <si>
    <t>atemp</t>
  </si>
  <si>
    <t>hum</t>
  </si>
  <si>
    <t>windspeed</t>
  </si>
  <si>
    <t>casual</t>
  </si>
  <si>
    <t>registered</t>
  </si>
  <si>
    <t>cnt</t>
  </si>
  <si>
    <t>dataset_2.atemp</t>
  </si>
  <si>
    <t>dataset_2.hum</t>
  </si>
  <si>
    <t>dataset_2.windspeed</t>
  </si>
  <si>
    <t>dataset_2.casual</t>
  </si>
  <si>
    <t>dataset_2.registered</t>
  </si>
  <si>
    <t>dataset_2.cnt</t>
  </si>
  <si>
    <t>238Q144P608P3:Q204PP3:P600</t>
  </si>
  <si>
    <t>Total Rental</t>
  </si>
  <si>
    <t>Average Hourly Demand</t>
  </si>
  <si>
    <t>Count of dataset_2.cnt</t>
  </si>
  <si>
    <t>Row Labels</t>
  </si>
  <si>
    <t>Grand Total</t>
  </si>
  <si>
    <t>Column Labels</t>
  </si>
  <si>
    <t>Line Chart 1</t>
  </si>
  <si>
    <t>(blank)</t>
  </si>
  <si>
    <t>Column Chart 1</t>
  </si>
  <si>
    <t>Bar Chart for Casual Users</t>
  </si>
  <si>
    <t xml:space="preserve">Clustered Column Chart </t>
  </si>
  <si>
    <t>Bike Demand Heatmap</t>
  </si>
  <si>
    <t>Sum of dataset_2.casual</t>
  </si>
  <si>
    <t>Sum of dataset_2.registered</t>
  </si>
  <si>
    <t>Forecast(dataset_2.cnt)</t>
  </si>
  <si>
    <t>Lower Confidence Bound(dataset_2.cnt)</t>
  </si>
  <si>
    <t>Upper Confidence Bound(dataset_2.cnt)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</si>
</sst>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0" fillId="2" borderId="0" xfId="0" applyFill="1"/>
    <xf numFmtId="0" fontId="1" fillId="2" borderId="0" xfId="0" applyFont="1" applyFill="1"/>
    <xf numFmtId="2" fontId="0" fillId="0" borderId="0" xfId="0" applyNumberFormat="1"/>
  </cellXfs>
  <cellStyles count="1">
    <cellStyle name="Normal" xfId="0" builtinId="0"/>
  </cellStyles>
  <dxfs count="16">
    <dxf>
      <numFmt numFmtId="2" formatCode="0.00"/>
    </dxf>
    <dxf>
      <numFmt numFmtId="2" formatCode="0.00"/>
    </dxf>
    <dxf>
      <numFmt numFmtId="19" formatCode="dd/mm/yyyy"/>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7030A0"/>
        </patternFill>
      </fill>
    </dxf>
    <dxf>
      <fill>
        <patternFill>
          <bgColor rgb="FF7030A0"/>
        </patternFill>
      </fill>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onnections" Target="connection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[Bike_Sharing_Analysis_Final.xlsx]Bar Chart for Casual Chart!PivotTable3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'Bar Chart for Casual Chart'!$B$1</c:f>
              <c:strCache>
                <c:ptCount val="1"/>
                <c:pt idx="0">
                  <c:v>Total</c:v>
                </c:pt>
              </c:strCache>
            </c:strRef>
          </c:tx>
          <c:spPr>
            <a:solidFill>
              <a:schemeClr val="accent1"/>
            </a:solidFill>
            <a:ln>
              <a:noFill/>
            </a:ln>
            <a:effectLst/>
          </c:spPr>
          <c:invertIfNegative val="0"/>
          <c:cat>
            <c:strRef>
              <c:f>'Bar Chart for Casual Chart'!$A$2:$A$35</c:f>
              <c:strCach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26</c:v>
                </c:pt>
                <c:pt idx="26">
                  <c:v>29</c:v>
                </c:pt>
                <c:pt idx="27">
                  <c:v>33</c:v>
                </c:pt>
                <c:pt idx="28">
                  <c:v>35</c:v>
                </c:pt>
                <c:pt idx="29">
                  <c:v>40</c:v>
                </c:pt>
                <c:pt idx="30">
                  <c:v>41</c:v>
                </c:pt>
                <c:pt idx="31">
                  <c:v>47</c:v>
                </c:pt>
                <c:pt idx="32">
                  <c:v>(blank)</c:v>
                </c:pt>
              </c:strCache>
            </c:strRef>
          </c:cat>
          <c:val>
            <c:numRef>
              <c:f>'Bar Chart for Casual Chart'!$B$2:$B$35</c:f>
              <c:numCache>
                <c:formatCode>General</c:formatCode>
                <c:ptCount val="33"/>
                <c:pt idx="0">
                  <c:v>168</c:v>
                </c:pt>
                <c:pt idx="1">
                  <c:v>84</c:v>
                </c:pt>
                <c:pt idx="2">
                  <c:v>55</c:v>
                </c:pt>
                <c:pt idx="3">
                  <c:v>57</c:v>
                </c:pt>
                <c:pt idx="4">
                  <c:v>38</c:v>
                </c:pt>
                <c:pt idx="5">
                  <c:v>34</c:v>
                </c:pt>
                <c:pt idx="6">
                  <c:v>30</c:v>
                </c:pt>
                <c:pt idx="7">
                  <c:v>22</c:v>
                </c:pt>
                <c:pt idx="8">
                  <c:v>18</c:v>
                </c:pt>
                <c:pt idx="9">
                  <c:v>15</c:v>
                </c:pt>
                <c:pt idx="10">
                  <c:v>10</c:v>
                </c:pt>
                <c:pt idx="11">
                  <c:v>15</c:v>
                </c:pt>
                <c:pt idx="12">
                  <c:v>10</c:v>
                </c:pt>
                <c:pt idx="13">
                  <c:v>5</c:v>
                </c:pt>
                <c:pt idx="14">
                  <c:v>5</c:v>
                </c:pt>
                <c:pt idx="15">
                  <c:v>5</c:v>
                </c:pt>
                <c:pt idx="16">
                  <c:v>3</c:v>
                </c:pt>
                <c:pt idx="17">
                  <c:v>2</c:v>
                </c:pt>
                <c:pt idx="18">
                  <c:v>2</c:v>
                </c:pt>
                <c:pt idx="19">
                  <c:v>2</c:v>
                </c:pt>
                <c:pt idx="20">
                  <c:v>2</c:v>
                </c:pt>
                <c:pt idx="21">
                  <c:v>6</c:v>
                </c:pt>
                <c:pt idx="22">
                  <c:v>3</c:v>
                </c:pt>
                <c:pt idx="23">
                  <c:v>3</c:v>
                </c:pt>
                <c:pt idx="24">
                  <c:v>1</c:v>
                </c:pt>
                <c:pt idx="25">
                  <c:v>2</c:v>
                </c:pt>
                <c:pt idx="26">
                  <c:v>3</c:v>
                </c:pt>
                <c:pt idx="27">
                  <c:v>1</c:v>
                </c:pt>
                <c:pt idx="28">
                  <c:v>2</c:v>
                </c:pt>
                <c:pt idx="29">
                  <c:v>1</c:v>
                </c:pt>
                <c:pt idx="30">
                  <c:v>1</c:v>
                </c:pt>
                <c:pt idx="31">
                  <c:v>1</c:v>
                </c:pt>
              </c:numCache>
            </c:numRef>
          </c:val>
          <c:extLst>
            <c:ext xmlns:c16="http://schemas.microsoft.com/office/drawing/2014/chart" uri="{C3380CC4-5D6E-409C-BE32-E72D297353CC}">
              <c16:uniqueId val="{00000000-81F6-4249-B9DF-1824423A7957}"/>
            </c:ext>
          </c:extLst>
        </c:ser>
        <c:dLbls>
          <c:showLegendKey val="0"/>
          <c:showVal val="0"/>
          <c:showCatName val="0"/>
          <c:showSerName val="0"/>
          <c:showPercent val="0"/>
          <c:showBubbleSize val="0"/>
        </c:dLbls>
        <c:gapWidth val="219"/>
        <c:overlap val="100"/>
        <c:axId val="578270255"/>
        <c:axId val="578271215"/>
      </c:barChart>
      <c:catAx>
        <c:axId val="578270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271215"/>
        <c:crosses val="autoZero"/>
        <c:auto val="1"/>
        <c:lblAlgn val="ctr"/>
        <c:lblOffset val="100"/>
        <c:noMultiLvlLbl val="0"/>
      </c:catAx>
      <c:valAx>
        <c:axId val="578271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27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[Bike_Sharing_Analysis_Final.xlsx]Clustered Column Chart !PivotTable4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'Clustered Column Chart '!$B$1</c:f>
              <c:strCache>
                <c:ptCount val="1"/>
                <c:pt idx="0">
                  <c:v>Total</c:v>
                </c:pt>
              </c:strCache>
            </c:strRef>
          </c:tx>
          <c:spPr>
            <a:solidFill>
              <a:schemeClr val="accent1"/>
            </a:solidFill>
            <a:ln>
              <a:noFill/>
            </a:ln>
            <a:effectLst/>
          </c:spPr>
          <c:invertIfNegative val="0"/>
          <c:cat>
            <c:strRef>
              <c:f>'Clustered Column Chart '!$A$2:$A$7</c:f>
              <c:strCache>
                <c:ptCount val="5"/>
                <c:pt idx="0">
                  <c:v>1</c:v>
                </c:pt>
                <c:pt idx="1">
                  <c:v>2</c:v>
                </c:pt>
                <c:pt idx="2">
                  <c:v>3</c:v>
                </c:pt>
                <c:pt idx="3">
                  <c:v>4</c:v>
                </c:pt>
                <c:pt idx="4">
                  <c:v>(blank)</c:v>
                </c:pt>
              </c:strCache>
            </c:strRef>
          </c:cat>
          <c:val>
            <c:numRef>
              <c:f>'Clustered Column Chart '!$B$2:$B$7</c:f>
              <c:numCache>
                <c:formatCode>General</c:formatCode>
                <c:ptCount val="5"/>
                <c:pt idx="0">
                  <c:v>365</c:v>
                </c:pt>
                <c:pt idx="1">
                  <c:v>193</c:v>
                </c:pt>
                <c:pt idx="2">
                  <c:v>47</c:v>
                </c:pt>
                <c:pt idx="3">
                  <c:v>1</c:v>
                </c:pt>
              </c:numCache>
            </c:numRef>
          </c:val>
          <c:extLst>
            <c:ext xmlns:c16="http://schemas.microsoft.com/office/drawing/2014/chart" uri="{C3380CC4-5D6E-409C-BE32-E72D297353CC}">
              <c16:uniqueId val="{00000000-B412-4039-87A0-FC9F38FBEAC0}"/>
            </c:ext>
          </c:extLst>
        </c:ser>
        <c:dLbls>
          <c:showLegendKey val="0"/>
          <c:showVal val="0"/>
          <c:showCatName val="0"/>
          <c:showSerName val="0"/>
          <c:showPercent val="0"/>
          <c:showBubbleSize val="0"/>
        </c:dLbls>
        <c:gapWidth val="219"/>
        <c:axId val="582651951"/>
        <c:axId val="582645231"/>
      </c:barChart>
      <c:catAx>
        <c:axId val="58265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45231"/>
        <c:crosses val="autoZero"/>
        <c:auto val="1"/>
        <c:lblAlgn val="ctr"/>
        <c:lblOffset val="100"/>
        <c:noMultiLvlLbl val="0"/>
      </c:catAx>
      <c:valAx>
        <c:axId val="582645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5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[Bike_Sharing_Analysis_Final.xlsx]Stacked Bar Chart!PivotTable6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'Stacked Bar Chart'!$A$5</c:f>
              <c:strCache>
                <c:ptCount val="1"/>
                <c:pt idx="0">
                  <c:v>Sum of dataset_2.registered</c:v>
                </c:pt>
              </c:strCache>
            </c:strRef>
          </c:tx>
          <c:spPr>
            <a:solidFill>
              <a:schemeClr val="accent1"/>
            </a:solidFill>
            <a:ln>
              <a:noFill/>
            </a:ln>
            <a:effectLst/>
          </c:spPr>
          <c:invertIfNegative val="0"/>
          <c:cat>
            <c:strRef>
              <c:f>'Stacked Bar Chart'!$A$6</c:f>
              <c:strCache>
                <c:ptCount val="1"/>
                <c:pt idx="0">
                  <c:v>Total</c:v>
                </c:pt>
              </c:strCache>
            </c:strRef>
          </c:cat>
          <c:val>
            <c:numRef>
              <c:f>'Stacked Bar Chart'!$A$6</c:f>
              <c:numCache>
                <c:formatCode>General</c:formatCode>
                <c:ptCount val="1"/>
                <c:pt idx="0">
                  <c:v>31148</c:v>
                </c:pt>
              </c:numCache>
            </c:numRef>
          </c:val>
          <c:extLst>
            <c:ext xmlns:c16="http://schemas.microsoft.com/office/drawing/2014/chart" uri="{C3380CC4-5D6E-409C-BE32-E72D297353CC}">
              <c16:uniqueId val="{00000000-E7C0-4A6A-B30A-8971D917C275}"/>
            </c:ext>
          </c:extLst>
        </c:ser>
        <c:ser>
          <c:idx val="1"/>
          <c:order val="1"/>
          <c:tx>
            <c:strRef>
              <c:f>'Stacked Bar Chart'!$B$5</c:f>
              <c:strCache>
                <c:ptCount val="1"/>
                <c:pt idx="0">
                  <c:v>Count of dataset_2.cnt</c:v>
                </c:pt>
              </c:strCache>
            </c:strRef>
          </c:tx>
          <c:spPr>
            <a:solidFill>
              <a:schemeClr val="accent2"/>
            </a:solidFill>
            <a:ln>
              <a:noFill/>
            </a:ln>
            <a:effectLst/>
          </c:spPr>
          <c:invertIfNegative val="0"/>
          <c:cat>
            <c:strRef>
              <c:f>'Stacked Bar Chart'!$A$6</c:f>
              <c:strCache>
                <c:ptCount val="1"/>
                <c:pt idx="0">
                  <c:v>Total</c:v>
                </c:pt>
              </c:strCache>
            </c:strRef>
          </c:cat>
          <c:val>
            <c:numRef>
              <c:f>'Stacked Bar Chart'!$B$6</c:f>
              <c:numCache>
                <c:formatCode>General</c:formatCode>
                <c:ptCount val="1"/>
                <c:pt idx="0">
                  <c:v>606</c:v>
                </c:pt>
              </c:numCache>
            </c:numRef>
          </c:val>
          <c:extLst>
            <c:ext xmlns:c16="http://schemas.microsoft.com/office/drawing/2014/chart" uri="{C3380CC4-5D6E-409C-BE32-E72D297353CC}">
              <c16:uniqueId val="{00000001-E7C0-4A6A-B30A-8971D917C275}"/>
            </c:ext>
          </c:extLst>
        </c:ser>
        <c:ser>
          <c:idx val="2"/>
          <c:order val="2"/>
          <c:tx>
            <c:strRef>
              <c:f>'Stacked Bar Chart'!$C$5</c:f>
              <c:strCache>
                <c:ptCount val="1"/>
                <c:pt idx="0">
                  <c:v>Sum of dataset_2.casual</c:v>
                </c:pt>
              </c:strCache>
            </c:strRef>
          </c:tx>
          <c:spPr>
            <a:solidFill>
              <a:schemeClr val="accent3"/>
            </a:solidFill>
            <a:ln>
              <a:noFill/>
            </a:ln>
            <a:effectLst/>
          </c:spPr>
          <c:invertIfNegative val="0"/>
          <c:cat>
            <c:strRef>
              <c:f>'Stacked Bar Chart'!$A$6</c:f>
              <c:strCache>
                <c:ptCount val="1"/>
                <c:pt idx="0">
                  <c:v>Total</c:v>
                </c:pt>
              </c:strCache>
            </c:strRef>
          </c:cat>
          <c:val>
            <c:numRef>
              <c:f>'Stacked Bar Chart'!$C$6</c:f>
              <c:numCache>
                <c:formatCode>General</c:formatCode>
                <c:ptCount val="1"/>
                <c:pt idx="0">
                  <c:v>2746</c:v>
                </c:pt>
              </c:numCache>
            </c:numRef>
          </c:val>
          <c:extLst>
            <c:ext xmlns:c16="http://schemas.microsoft.com/office/drawing/2014/chart" uri="{C3380CC4-5D6E-409C-BE32-E72D297353CC}">
              <c16:uniqueId val="{00000002-E7C0-4A6A-B30A-8971D917C275}"/>
            </c:ext>
          </c:extLst>
        </c:ser>
        <c:dLbls>
          <c:showLegendKey val="0"/>
          <c:showVal val="0"/>
          <c:showCatName val="0"/>
          <c:showSerName val="0"/>
          <c:showPercent val="0"/>
          <c:showBubbleSize val="0"/>
        </c:dLbls>
        <c:gapWidth val="182"/>
        <c:axId val="577845471"/>
        <c:axId val="577846431"/>
      </c:barChart>
      <c:catAx>
        <c:axId val="57784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846431"/>
        <c:crosses val="autoZero"/>
        <c:auto val="1"/>
        <c:lblAlgn val="ctr"/>
        <c:lblOffset val="100"/>
        <c:noMultiLvlLbl val="0"/>
      </c:catAx>
      <c:valAx>
        <c:axId val="577846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84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 Sheet 2'!$B$1</c:f>
              <c:strCache>
                <c:ptCount val="1"/>
                <c:pt idx="0">
                  <c:v>dataset_2.cnt</c:v>
                </c:pt>
              </c:strCache>
            </c:strRef>
          </c:tx>
          <c:spPr>
            <a:ln w="28575" cap="rnd">
              <a:solidFill>
                <a:schemeClr val="accent1"/>
              </a:solidFill>
              <a:round/>
            </a:ln>
            <a:effectLst/>
          </c:spPr>
          <c:marker>
            <c:symbol val="none"/>
          </c:marker>
          <c:val>
            <c:numRef>
              <c:f>'Forecast Sheet 2'!$B$2:$B$43</c:f>
              <c:numCache>
                <c:formatCode>General</c:formatCode>
                <c:ptCount val="42"/>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35.695652173913047</c:v>
                </c:pt>
                <c:pt idx="9">
                  <c:v>55.041666666666664</c:v>
                </c:pt>
                <c:pt idx="10">
                  <c:v>57.409090909090907</c:v>
                </c:pt>
                <c:pt idx="11">
                  <c:v>52.81818181818182</c:v>
                </c:pt>
                <c:pt idx="12">
                  <c:v>58.583333333333336</c:v>
                </c:pt>
                <c:pt idx="13">
                  <c:v>61.782608695652172</c:v>
                </c:pt>
                <c:pt idx="14">
                  <c:v>52</c:v>
                </c:pt>
                <c:pt idx="15">
                  <c:v>52.304347826086953</c:v>
                </c:pt>
                <c:pt idx="16">
                  <c:v>41.666666666666664</c:v>
                </c:pt>
                <c:pt idx="17">
                  <c:v>56.916666666666664</c:v>
                </c:pt>
                <c:pt idx="18">
                  <c:v>71.739130434782609</c:v>
                </c:pt>
                <c:pt idx="19">
                  <c:v>87.5</c:v>
                </c:pt>
                <c:pt idx="20">
                  <c:v>64.291666666666671</c:v>
                </c:pt>
                <c:pt idx="21">
                  <c:v>42.652173913043477</c:v>
                </c:pt>
                <c:pt idx="22">
                  <c:v>42.869565217391305</c:v>
                </c:pt>
                <c:pt idx="23">
                  <c:v>61.565217391304351</c:v>
                </c:pt>
                <c:pt idx="24">
                  <c:v>79.409090909090907</c:v>
                </c:pt>
                <c:pt idx="25">
                  <c:v>31.625</c:v>
                </c:pt>
                <c:pt idx="26">
                  <c:v>53.875</c:v>
                </c:pt>
                <c:pt idx="27">
                  <c:v>38.06666666666667</c:v>
                </c:pt>
              </c:numCache>
            </c:numRef>
          </c:val>
          <c:smooth val="0"/>
          <c:extLst>
            <c:ext xmlns:c16="http://schemas.microsoft.com/office/drawing/2014/chart" uri="{C3380CC4-5D6E-409C-BE32-E72D297353CC}">
              <c16:uniqueId val="{00000000-5AE3-4A5A-ACA0-93934AB524A5}"/>
            </c:ext>
          </c:extLst>
        </c:ser>
        <c:ser>
          <c:idx val="1"/>
          <c:order val="1"/>
          <c:tx>
            <c:strRef>
              <c:f>'Forecast Sheet 2'!$C$1</c:f>
              <c:strCache>
                <c:ptCount val="1"/>
                <c:pt idx="0">
                  <c:v>Forecast(dataset_2.cnt)</c:v>
                </c:pt>
              </c:strCache>
            </c:strRef>
          </c:tx>
          <c:spPr>
            <a:ln w="25400" cap="rnd">
              <a:solidFill>
                <a:schemeClr val="accent2"/>
              </a:solidFill>
              <a:round/>
            </a:ln>
            <a:effectLst/>
          </c:spPr>
          <c:marker>
            <c:symbol val="none"/>
          </c:marker>
          <c:cat>
            <c:numRef>
              <c:f>'Forecast Sheet 2'!$A$2:$A$43</c:f>
              <c:numCache>
                <c:formatCode>m/d/yyyy</c:formatCode>
                <c:ptCount val="4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numCache>
            </c:numRef>
          </c:cat>
          <c:val>
            <c:numRef>
              <c:f>'Forecast Sheet 2'!$C$2:$C$43</c:f>
              <c:numCache>
                <c:formatCode>General</c:formatCode>
                <c:ptCount val="42"/>
                <c:pt idx="27">
                  <c:v>38.06666666666667</c:v>
                </c:pt>
                <c:pt idx="28">
                  <c:v>39.718238951847567</c:v>
                </c:pt>
                <c:pt idx="29">
                  <c:v>37.086610112796002</c:v>
                </c:pt>
                <c:pt idx="30">
                  <c:v>52.146057486520256</c:v>
                </c:pt>
                <c:pt idx="31">
                  <c:v>55.977266152270502</c:v>
                </c:pt>
                <c:pt idx="32">
                  <c:v>53.40904667230722</c:v>
                </c:pt>
                <c:pt idx="33">
                  <c:v>56.732748725088904</c:v>
                </c:pt>
                <c:pt idx="34">
                  <c:v>55.623729414086661</c:v>
                </c:pt>
                <c:pt idx="35">
                  <c:v>38.390206827556852</c:v>
                </c:pt>
                <c:pt idx="36">
                  <c:v>35.758577988505287</c:v>
                </c:pt>
                <c:pt idx="37">
                  <c:v>50.818025362229541</c:v>
                </c:pt>
                <c:pt idx="38">
                  <c:v>54.649234027979794</c:v>
                </c:pt>
                <c:pt idx="39">
                  <c:v>52.081014548016512</c:v>
                </c:pt>
                <c:pt idx="40">
                  <c:v>55.404716600798196</c:v>
                </c:pt>
                <c:pt idx="41">
                  <c:v>54.295697289795953</c:v>
                </c:pt>
              </c:numCache>
            </c:numRef>
          </c:val>
          <c:smooth val="0"/>
          <c:extLst>
            <c:ext xmlns:c16="http://schemas.microsoft.com/office/drawing/2014/chart" uri="{C3380CC4-5D6E-409C-BE32-E72D297353CC}">
              <c16:uniqueId val="{00000001-5AE3-4A5A-ACA0-93934AB524A5}"/>
            </c:ext>
          </c:extLst>
        </c:ser>
        <c:ser>
          <c:idx val="2"/>
          <c:order val="2"/>
          <c:tx>
            <c:strRef>
              <c:f>'Forecast Sheet 2'!$D$1</c:f>
              <c:strCache>
                <c:ptCount val="1"/>
                <c:pt idx="0">
                  <c:v>Lower Confidence Bound(dataset_2.cnt)</c:v>
                </c:pt>
              </c:strCache>
            </c:strRef>
          </c:tx>
          <c:spPr>
            <a:ln w="12700" cap="rnd">
              <a:solidFill>
                <a:srgbClr val="ED7D31"/>
              </a:solidFill>
              <a:prstDash val="solid"/>
              <a:round/>
            </a:ln>
            <a:effectLst/>
          </c:spPr>
          <c:marker>
            <c:symbol val="none"/>
          </c:marker>
          <c:cat>
            <c:numRef>
              <c:f>'Forecast Sheet 2'!$A$2:$A$43</c:f>
              <c:numCache>
                <c:formatCode>m/d/yyyy</c:formatCode>
                <c:ptCount val="4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numCache>
            </c:numRef>
          </c:cat>
          <c:val>
            <c:numRef>
              <c:f>'Forecast Sheet 2'!$D$2:$D$43</c:f>
              <c:numCache>
                <c:formatCode>General</c:formatCode>
                <c:ptCount val="42"/>
                <c:pt idx="27" formatCode="0.00">
                  <c:v>38.06666666666667</c:v>
                </c:pt>
                <c:pt idx="28" formatCode="0.00">
                  <c:v>17.072976577220903</c:v>
                </c:pt>
                <c:pt idx="29" formatCode="0.00">
                  <c:v>14.259455520861707</c:v>
                </c:pt>
                <c:pt idx="30" formatCode="0.00">
                  <c:v>29.135607001382077</c:v>
                </c:pt>
                <c:pt idx="31" formatCode="0.00">
                  <c:v>32.782127266584027</c:v>
                </c:pt>
                <c:pt idx="32" formatCode="0.00">
                  <c:v>30.027837944532905</c:v>
                </c:pt>
                <c:pt idx="33" formatCode="0.00">
                  <c:v>33.164099674258537</c:v>
                </c:pt>
                <c:pt idx="34" formatCode="0.00">
                  <c:v>31.866280412342551</c:v>
                </c:pt>
                <c:pt idx="35" formatCode="0.00">
                  <c:v>14.439750425500506</c:v>
                </c:pt>
                <c:pt idx="36" formatCode="0.00">
                  <c:v>11.61665717297921</c:v>
                </c:pt>
                <c:pt idx="37" formatCode="0.00">
                  <c:v>26.483312197971426</c:v>
                </c:pt>
                <c:pt idx="38" formatCode="0.00">
                  <c:v>30.120410985416676</c:v>
                </c:pt>
                <c:pt idx="39" formatCode="0.00">
                  <c:v>27.356774388227542</c:v>
                </c:pt>
                <c:pt idx="40" formatCode="0.00">
                  <c:v>30.483762259538064</c:v>
                </c:pt>
                <c:pt idx="41" formatCode="0.00">
                  <c:v>29.176741760754876</c:v>
                </c:pt>
              </c:numCache>
            </c:numRef>
          </c:val>
          <c:smooth val="0"/>
          <c:extLst>
            <c:ext xmlns:c16="http://schemas.microsoft.com/office/drawing/2014/chart" uri="{C3380CC4-5D6E-409C-BE32-E72D297353CC}">
              <c16:uniqueId val="{00000002-5AE3-4A5A-ACA0-93934AB524A5}"/>
            </c:ext>
          </c:extLst>
        </c:ser>
        <c:ser>
          <c:idx val="3"/>
          <c:order val="3"/>
          <c:tx>
            <c:strRef>
              <c:f>'Forecast Sheet 2'!$E$1</c:f>
              <c:strCache>
                <c:ptCount val="1"/>
                <c:pt idx="0">
                  <c:v>Upper Confidence Bound(dataset_2.cnt)</c:v>
                </c:pt>
              </c:strCache>
            </c:strRef>
          </c:tx>
          <c:spPr>
            <a:ln w="12700" cap="rnd">
              <a:solidFill>
                <a:srgbClr val="ED7D31"/>
              </a:solidFill>
              <a:prstDash val="solid"/>
              <a:round/>
            </a:ln>
            <a:effectLst/>
          </c:spPr>
          <c:marker>
            <c:symbol val="none"/>
          </c:marker>
          <c:cat>
            <c:numRef>
              <c:f>'Forecast Sheet 2'!$A$2:$A$43</c:f>
              <c:numCache>
                <c:formatCode>m/d/yyyy</c:formatCode>
                <c:ptCount val="4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numCache>
            </c:numRef>
          </c:cat>
          <c:val>
            <c:numRef>
              <c:f>'Forecast Sheet 2'!$E$2:$E$43</c:f>
              <c:numCache>
                <c:formatCode>General</c:formatCode>
                <c:ptCount val="42"/>
                <c:pt idx="27" formatCode="0.00">
                  <c:v>38.06666666666667</c:v>
                </c:pt>
                <c:pt idx="28" formatCode="0.00">
                  <c:v>62.363501326474235</c:v>
                </c:pt>
                <c:pt idx="29" formatCode="0.00">
                  <c:v>59.913764704730298</c:v>
                </c:pt>
                <c:pt idx="30" formatCode="0.00">
                  <c:v>75.156507971658442</c:v>
                </c:pt>
                <c:pt idx="31" formatCode="0.00">
                  <c:v>79.172405037956977</c:v>
                </c:pt>
                <c:pt idx="32" formatCode="0.00">
                  <c:v>76.790255400081534</c:v>
                </c:pt>
                <c:pt idx="33" formatCode="0.00">
                  <c:v>80.30139777591927</c:v>
                </c:pt>
                <c:pt idx="34" formatCode="0.00">
                  <c:v>79.381178415830774</c:v>
                </c:pt>
                <c:pt idx="35" formatCode="0.00">
                  <c:v>62.340663229613199</c:v>
                </c:pt>
                <c:pt idx="36" formatCode="0.00">
                  <c:v>59.900498804031365</c:v>
                </c:pt>
                <c:pt idx="37" formatCode="0.00">
                  <c:v>75.152738526487653</c:v>
                </c:pt>
                <c:pt idx="38" formatCode="0.00">
                  <c:v>79.178057070542906</c:v>
                </c:pt>
                <c:pt idx="39" formatCode="0.00">
                  <c:v>76.805254707805489</c:v>
                </c:pt>
                <c:pt idx="40" formatCode="0.00">
                  <c:v>80.325670942058323</c:v>
                </c:pt>
                <c:pt idx="41" formatCode="0.00">
                  <c:v>79.414652818837027</c:v>
                </c:pt>
              </c:numCache>
            </c:numRef>
          </c:val>
          <c:smooth val="0"/>
          <c:extLst>
            <c:ext xmlns:c16="http://schemas.microsoft.com/office/drawing/2014/chart" uri="{C3380CC4-5D6E-409C-BE32-E72D297353CC}">
              <c16:uniqueId val="{00000003-5AE3-4A5A-ACA0-93934AB524A5}"/>
            </c:ext>
          </c:extLst>
        </c:ser>
        <c:dLbls>
          <c:showLegendKey val="0"/>
          <c:showVal val="0"/>
          <c:showCatName val="0"/>
          <c:showSerName val="0"/>
          <c:showPercent val="0"/>
          <c:showBubbleSize val="0"/>
        </c:dLbls>
        <c:smooth val="0"/>
        <c:axId val="522524271"/>
        <c:axId val="522530991"/>
      </c:lineChart>
      <c:catAx>
        <c:axId val="52252427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530991"/>
        <c:crosses val="autoZero"/>
        <c:auto val="1"/>
        <c:lblAlgn val="ctr"/>
        <c:lblOffset val="100"/>
        <c:noMultiLvlLbl val="0"/>
      </c:catAx>
      <c:valAx>
        <c:axId val="522530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524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[Bike_Sharing_Analysis_Final.xlsx]Column Chart !PivotTable2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 '!$B$1</c:f>
              <c:strCache>
                <c:ptCount val="1"/>
                <c:pt idx="0">
                  <c:v>Total</c:v>
                </c:pt>
              </c:strCache>
            </c:strRef>
          </c:tx>
          <c:spPr>
            <a:solidFill>
              <a:schemeClr val="accent1"/>
            </a:solidFill>
            <a:ln>
              <a:noFill/>
            </a:ln>
            <a:effectLst/>
          </c:spPr>
          <c:invertIfNegative val="0"/>
          <c:cat>
            <c:strRef>
              <c:f>'Column Chart '!$A$2:$A$27</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'Column Chart '!$B$2:$B$27</c:f>
              <c:numCache>
                <c:formatCode>General</c:formatCode>
                <c:ptCount val="25"/>
                <c:pt idx="0">
                  <c:v>26</c:v>
                </c:pt>
                <c:pt idx="1">
                  <c:v>26</c:v>
                </c:pt>
                <c:pt idx="2">
                  <c:v>24</c:v>
                </c:pt>
                <c:pt idx="3">
                  <c:v>15</c:v>
                </c:pt>
                <c:pt idx="4">
                  <c:v>19</c:v>
                </c:pt>
                <c:pt idx="5">
                  <c:v>23</c:v>
                </c:pt>
                <c:pt idx="6">
                  <c:v>25</c:v>
                </c:pt>
                <c:pt idx="7">
                  <c:v>26</c:v>
                </c:pt>
                <c:pt idx="8">
                  <c:v>26</c:v>
                </c:pt>
                <c:pt idx="9">
                  <c:v>26</c:v>
                </c:pt>
                <c:pt idx="10">
                  <c:v>26</c:v>
                </c:pt>
                <c:pt idx="11">
                  <c:v>26</c:v>
                </c:pt>
                <c:pt idx="12">
                  <c:v>27</c:v>
                </c:pt>
                <c:pt idx="13">
                  <c:v>27</c:v>
                </c:pt>
                <c:pt idx="14">
                  <c:v>27</c:v>
                </c:pt>
                <c:pt idx="15">
                  <c:v>27</c:v>
                </c:pt>
                <c:pt idx="16">
                  <c:v>27</c:v>
                </c:pt>
                <c:pt idx="17">
                  <c:v>27</c:v>
                </c:pt>
                <c:pt idx="18">
                  <c:v>26</c:v>
                </c:pt>
                <c:pt idx="19">
                  <c:v>26</c:v>
                </c:pt>
                <c:pt idx="20">
                  <c:v>26</c:v>
                </c:pt>
                <c:pt idx="21">
                  <c:v>26</c:v>
                </c:pt>
                <c:pt idx="22">
                  <c:v>26</c:v>
                </c:pt>
                <c:pt idx="23">
                  <c:v>26</c:v>
                </c:pt>
              </c:numCache>
            </c:numRef>
          </c:val>
          <c:extLst>
            <c:ext xmlns:c16="http://schemas.microsoft.com/office/drawing/2014/chart" uri="{C3380CC4-5D6E-409C-BE32-E72D297353CC}">
              <c16:uniqueId val="{00000000-33AE-4850-AF8C-B824C960B3E5}"/>
            </c:ext>
          </c:extLst>
        </c:ser>
        <c:dLbls>
          <c:showLegendKey val="0"/>
          <c:showVal val="0"/>
          <c:showCatName val="0"/>
          <c:showSerName val="0"/>
          <c:showPercent val="0"/>
          <c:showBubbleSize val="0"/>
        </c:dLbls>
        <c:gapWidth val="219"/>
        <c:overlap val="-27"/>
        <c:axId val="578269775"/>
        <c:axId val="578270735"/>
      </c:barChart>
      <c:catAx>
        <c:axId val="57826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270735"/>
        <c:crosses val="autoZero"/>
        <c:auto val="1"/>
        <c:lblAlgn val="ctr"/>
        <c:lblOffset val="100"/>
        <c:noMultiLvlLbl val="0"/>
      </c:catAx>
      <c:valAx>
        <c:axId val="57827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26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[Bike_Sharing_Analysis_Final.xlsx]Linechart!PivotTable1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Linechart!$B$3</c:f>
              <c:strCache>
                <c:ptCount val="1"/>
                <c:pt idx="0">
                  <c:v>Total</c:v>
                </c:pt>
              </c:strCache>
            </c:strRef>
          </c:tx>
          <c:spPr>
            <a:solidFill>
              <a:schemeClr val="accent1"/>
            </a:solidFill>
            <a:ln>
              <a:noFill/>
            </a:ln>
            <a:effectLst/>
          </c:spPr>
          <c:invertIfNegative val="0"/>
          <c:cat>
            <c:strRef>
              <c:f>Linechart!$A$4:$A$31</c:f>
              <c:strCache>
                <c:ptCount val="27"/>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28-01-2011</c:v>
                </c:pt>
              </c:strCache>
            </c:strRef>
          </c:cat>
          <c:val>
            <c:numRef>
              <c:f>Linechart!$B$4:$B$31</c:f>
              <c:numCache>
                <c:formatCode>General</c:formatCode>
                <c:ptCount val="27"/>
                <c:pt idx="0">
                  <c:v>4</c:v>
                </c:pt>
                <c:pt idx="1">
                  <c:v>4</c:v>
                </c:pt>
                <c:pt idx="2">
                  <c:v>4</c:v>
                </c:pt>
                <c:pt idx="3">
                  <c:v>5</c:v>
                </c:pt>
                <c:pt idx="4">
                  <c:v>5</c:v>
                </c:pt>
                <c:pt idx="5">
                  <c:v>4</c:v>
                </c:pt>
                <c:pt idx="6">
                  <c:v>4</c:v>
                </c:pt>
                <c:pt idx="7">
                  <c:v>4</c:v>
                </c:pt>
                <c:pt idx="8">
                  <c:v>5</c:v>
                </c:pt>
                <c:pt idx="9">
                  <c:v>6</c:v>
                </c:pt>
                <c:pt idx="10">
                  <c:v>4</c:v>
                </c:pt>
                <c:pt idx="11">
                  <c:v>4</c:v>
                </c:pt>
                <c:pt idx="12">
                  <c:v>6</c:v>
                </c:pt>
                <c:pt idx="13">
                  <c:v>3</c:v>
                </c:pt>
                <c:pt idx="14">
                  <c:v>4</c:v>
                </c:pt>
                <c:pt idx="15">
                  <c:v>3</c:v>
                </c:pt>
                <c:pt idx="16">
                  <c:v>4</c:v>
                </c:pt>
                <c:pt idx="17">
                  <c:v>1</c:v>
                </c:pt>
                <c:pt idx="18">
                  <c:v>5</c:v>
                </c:pt>
                <c:pt idx="19">
                  <c:v>3</c:v>
                </c:pt>
                <c:pt idx="20">
                  <c:v>5</c:v>
                </c:pt>
                <c:pt idx="21">
                  <c:v>4</c:v>
                </c:pt>
                <c:pt idx="22">
                  <c:v>4</c:v>
                </c:pt>
                <c:pt idx="23">
                  <c:v>5</c:v>
                </c:pt>
                <c:pt idx="24">
                  <c:v>3</c:v>
                </c:pt>
                <c:pt idx="25">
                  <c:v>2</c:v>
                </c:pt>
                <c:pt idx="26">
                  <c:v>4</c:v>
                </c:pt>
              </c:numCache>
            </c:numRef>
          </c:val>
          <c:extLst>
            <c:ext xmlns:c16="http://schemas.microsoft.com/office/drawing/2014/chart" uri="{C3380CC4-5D6E-409C-BE32-E72D297353CC}">
              <c16:uniqueId val="{00000000-2D24-4592-887B-E6DF6745D7A3}"/>
            </c:ext>
          </c:extLst>
        </c:ser>
        <c:dLbls>
          <c:showLegendKey val="0"/>
          <c:showVal val="0"/>
          <c:showCatName val="0"/>
          <c:showSerName val="0"/>
          <c:showPercent val="0"/>
          <c:showBubbleSize val="0"/>
        </c:dLbls>
        <c:gapWidth val="219"/>
        <c:overlap val="-27"/>
        <c:axId val="85944320"/>
        <c:axId val="1128707120"/>
      </c:barChart>
      <c:catAx>
        <c:axId val="8594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707120"/>
        <c:crosses val="autoZero"/>
        <c:auto val="1"/>
        <c:lblAlgn val="ctr"/>
        <c:lblOffset val="100"/>
        <c:noMultiLvlLbl val="0"/>
      </c:catAx>
      <c:valAx>
        <c:axId val="112870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4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106680</xdr:colOff>
      <xdr:row>6</xdr:row>
      <xdr:rowOff>53340</xdr:rowOff>
    </xdr:from>
    <xdr:to>
      <xdr:col>12</xdr:col>
      <xdr:colOff>411480</xdr:colOff>
      <xdr:row>21</xdr:row>
      <xdr:rowOff>53340</xdr:rowOff>
    </xdr:to>
    <xdr:graphicFrame macro="">
      <xdr:nvGraphicFramePr>
        <xdr:cNvPr id="2" name="Chart 1">
          <a:extLst>
            <a:ext uri="{FF2B5EF4-FFF2-40B4-BE49-F238E27FC236}">
              <a16:creationId xmlns:a16="http://schemas.microsoft.com/office/drawing/2014/main" id="{68829F40-17DD-9F44-C775-2A413D5E6A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23442D90-1E07-6C3B-4B6B-F621081417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640080</xdr:colOff>
      <xdr:row>7</xdr:row>
      <xdr:rowOff>34290</xdr:rowOff>
    </xdr:from>
    <xdr:to>
      <xdr:col>5</xdr:col>
      <xdr:colOff>304800</xdr:colOff>
      <xdr:row>22</xdr:row>
      <xdr:rowOff>34290</xdr:rowOff>
    </xdr:to>
    <xdr:graphicFrame macro="">
      <xdr:nvGraphicFramePr>
        <xdr:cNvPr id="4" name="Chart 3">
          <a:extLst>
            <a:ext uri="{FF2B5EF4-FFF2-40B4-BE49-F238E27FC236}">
              <a16:creationId xmlns:a16="http://schemas.microsoft.com/office/drawing/2014/main" id="{9277810F-44B3-4CF5-CEBA-A4273BC97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1470660</xdr:colOff>
      <xdr:row>3</xdr:row>
      <xdr:rowOff>140970</xdr:rowOff>
    </xdr:from>
    <xdr:to>
      <xdr:col>11</xdr:col>
      <xdr:colOff>428625</xdr:colOff>
      <xdr:row>23</xdr:row>
      <xdr:rowOff>150495</xdr:rowOff>
    </xdr:to>
    <xdr:graphicFrame macro="">
      <xdr:nvGraphicFramePr>
        <xdr:cNvPr id="2" name="Chart 1">
          <a:extLst>
            <a:ext uri="{FF2B5EF4-FFF2-40B4-BE49-F238E27FC236}">
              <a16:creationId xmlns:a16="http://schemas.microsoft.com/office/drawing/2014/main" id="{F4E8F773-000D-23AA-E917-FFCC7A0E13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601980</xdr:colOff>
      <xdr:row>9</xdr:row>
      <xdr:rowOff>53340</xdr:rowOff>
    </xdr:from>
    <xdr:to>
      <xdr:col>11</xdr:col>
      <xdr:colOff>297180</xdr:colOff>
      <xdr:row>24</xdr:row>
      <xdr:rowOff>53340</xdr:rowOff>
    </xdr:to>
    <xdr:graphicFrame macro="">
      <xdr:nvGraphicFramePr>
        <xdr:cNvPr id="2" name="Chart 1">
          <a:extLst>
            <a:ext uri="{FF2B5EF4-FFF2-40B4-BE49-F238E27FC236}">
              <a16:creationId xmlns:a16="http://schemas.microsoft.com/office/drawing/2014/main" id="{E8FFACE7-4CE1-1FAF-29D4-385B08EB95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76200</xdr:colOff>
      <xdr:row>1</xdr:row>
      <xdr:rowOff>95250</xdr:rowOff>
    </xdr:from>
    <xdr:to>
      <xdr:col>7</xdr:col>
      <xdr:colOff>99060</xdr:colOff>
      <xdr:row>16</xdr:row>
      <xdr:rowOff>95250</xdr:rowOff>
    </xdr:to>
    <xdr:graphicFrame macro="">
      <xdr:nvGraphicFramePr>
        <xdr:cNvPr id="2" name="Chart 1">
          <a:extLst>
            <a:ext uri="{FF2B5EF4-FFF2-40B4-BE49-F238E27FC236}">
              <a16:creationId xmlns:a16="http://schemas.microsoft.com/office/drawing/2014/main" id="{8C0D17E1-9257-30B7-F9EE-C6F21BEE05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182880</xdr:colOff>
      <xdr:row>0</xdr:row>
      <xdr:rowOff>152400</xdr:rowOff>
    </xdr:from>
    <xdr:to>
      <xdr:col>17</xdr:col>
      <xdr:colOff>182880</xdr:colOff>
      <xdr:row>14</xdr:row>
      <xdr:rowOff>59055</xdr:rowOff>
    </xdr:to>
    <mc:AlternateContent xmlns:mc="http://schemas.openxmlformats.org/markup-compatibility/2006">
      <mc:Choice xmlns:a14="http://schemas.microsoft.com/office/drawing/2010/main" Requires="a14">
        <xdr:graphicFrame macro="">
          <xdr:nvGraphicFramePr>
            <xdr:cNvPr id="3" name="hr">
              <a:extLst>
                <a:ext uri="{FF2B5EF4-FFF2-40B4-BE49-F238E27FC236}">
                  <a16:creationId xmlns:a16="http://schemas.microsoft.com/office/drawing/2014/main" id="{4C6F2D70-3DC8-519B-DB4C-D6EFC0100D67}"/>
                </a:ext>
              </a:extLst>
            </xdr:cNvPr>
            <xdr:cNvGraphicFramePr/>
          </xdr:nvGraphicFramePr>
          <xdr:xfrm>
            <a:off x="0" y="0"/>
            <a:ext cx="0" cy="0"/>
          </xdr:xfrm>
          <a:graphic>
            <a:graphicData uri="http://schemas.microsoft.com/office/drawing/2010/slicer">
              <sle:slicer xmlns:sle="http://schemas.microsoft.com/office/drawing/2010/slicer" name="hr"/>
            </a:graphicData>
          </a:graphic>
        </xdr:graphicFrame>
      </mc:Choice>
      <mc:Fallback>
        <xdr:sp macro="" textlink="">
          <xdr:nvSpPr>
            <xdr:cNvPr id="0" name=""/>
            <xdr:cNvSpPr>
              <a:spLocks noTextEdit="1"/>
            </xdr:cNvSpPr>
          </xdr:nvSpPr>
          <xdr:spPr>
            <a:xfrm>
              <a:off x="10988040" y="152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464820</xdr:colOff>
      <xdr:row>0</xdr:row>
      <xdr:rowOff>121920</xdr:rowOff>
    </xdr:from>
    <xdr:to>
      <xdr:col>13</xdr:col>
      <xdr:colOff>464820</xdr:colOff>
      <xdr:row>14</xdr:row>
      <xdr:rowOff>28575</xdr:rowOff>
    </xdr:to>
    <mc:AlternateContent xmlns:mc="http://schemas.openxmlformats.org/markup-compatibility/2006">
      <mc:Choice xmlns:a14="http://schemas.microsoft.com/office/drawing/2010/main" Requires="a14">
        <xdr:graphicFrame macro="">
          <xdr:nvGraphicFramePr>
            <xdr:cNvPr id="4" name="dataset_2.cnt">
              <a:extLst>
                <a:ext uri="{FF2B5EF4-FFF2-40B4-BE49-F238E27FC236}">
                  <a16:creationId xmlns:a16="http://schemas.microsoft.com/office/drawing/2014/main" id="{1C7482FD-61D2-97A9-4809-68950795F663}"/>
                </a:ext>
              </a:extLst>
            </xdr:cNvPr>
            <xdr:cNvGraphicFramePr/>
          </xdr:nvGraphicFramePr>
          <xdr:xfrm>
            <a:off x="0" y="0"/>
            <a:ext cx="0" cy="0"/>
          </xdr:xfrm>
          <a:graphic>
            <a:graphicData uri="http://schemas.microsoft.com/office/drawing/2010/slicer">
              <sle:slicer xmlns:sle="http://schemas.microsoft.com/office/drawing/2010/slicer" name="dataset_2.cnt"/>
            </a:graphicData>
          </a:graphic>
        </xdr:graphicFrame>
      </mc:Choice>
      <mc:Fallback>
        <xdr:sp macro="" textlink="">
          <xdr:nvSpPr>
            <xdr:cNvPr id="0" name=""/>
            <xdr:cNvSpPr>
              <a:spLocks noTextEdit="1"/>
            </xdr:cNvSpPr>
          </xdr:nvSpPr>
          <xdr:spPr>
            <a:xfrm>
              <a:off x="8831580" y="121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9.752688194443" createdVersion="8" refreshedVersion="8" minRefreshableVersion="3" recordCount="606" xr:uid="{A8789427-0C6A-4B84-8D3F-FC194FC72530}">
  <cacheSource type="worksheet">
    <worksheetSource ref="B1:P607" sheet="Merged_Dataset"/>
  </cacheSource>
  <cacheFields count="15">
    <cacheField name="dteday" numFmtId="14">
      <sharedItems containsSemiMixedTypes="0" containsNonDate="0" containsDate="1" containsString="0" minDate="2011-01-01T00:00:00" maxDate="2011-01-29T00:00:00" count="28">
        <d v="2011-01-20T00:00:00"/>
        <d v="2011-01-25T00:00:00"/>
        <d v="2011-01-06T00:00:00"/>
        <d v="2011-01-11T00:00:00"/>
        <d v="2011-01-21T00:00:00"/>
        <d v="2011-01-04T00:00:00"/>
        <d v="2011-01-07T00:00:00"/>
        <d v="2011-01-13T00:00:00"/>
        <d v="2011-01-19T00:00:00"/>
        <d v="2011-01-05T00:00:00"/>
        <d v="2011-01-10T00:00:00"/>
        <d v="2011-01-24T00:00:00"/>
        <d v="2011-01-14T00:00:00"/>
        <d v="2011-01-03T00:00:00"/>
        <d v="2011-01-28T00:00:00"/>
        <d v="2011-01-12T00:00:00"/>
        <d v="2011-01-18T00:00:00"/>
        <d v="2011-01-15T00:00:00"/>
        <d v="2011-01-16T00:00:00"/>
        <d v="2011-01-23T00:00:00"/>
        <d v="2011-01-01T00:00:00"/>
        <d v="2011-01-27T00:00:00"/>
        <d v="2011-01-22T00:00:00"/>
        <d v="2011-01-08T00:00:00"/>
        <d v="2011-01-02T00:00:00"/>
        <d v="2011-01-17T00:00:00"/>
        <d v="2011-01-09T00:00:00"/>
        <d v="2011-01-26T00:00:00"/>
      </sharedItems>
    </cacheField>
    <cacheField name="season" numFmtId="0">
      <sharedItems containsSemiMixedTypes="0" containsString="0" containsNumber="1" containsInteger="1" minValue="1" maxValue="1" count="1">
        <n v="1"/>
      </sharedItems>
    </cacheField>
    <cacheField name="yr" numFmtId="0">
      <sharedItems containsSemiMixedTypes="0" containsString="0" containsNumber="1" containsInteger="1" minValue="0" maxValue="0" count="1">
        <n v="0"/>
      </sharedItems>
    </cacheField>
    <cacheField name="mnth" numFmtId="0">
      <sharedItems containsSemiMixedTypes="0" containsString="0" containsNumber="1" containsInteger="1" minValue="1" maxValue="1" count="1">
        <n v="1"/>
      </sharedItems>
    </cacheField>
    <cacheField name="hr" numFmtId="0">
      <sharedItems containsSemiMixedTypes="0" containsString="0" containsNumber="1" containsInteger="1" minValue="0" maxValue="23" count="24">
        <n v="8"/>
        <n v="18"/>
        <n v="17"/>
        <n v="9"/>
        <n v="19"/>
        <n v="15"/>
        <n v="16"/>
        <n v="20"/>
        <n v="14"/>
        <n v="13"/>
        <n v="12"/>
        <n v="7"/>
        <n v="11"/>
        <n v="10"/>
        <n v="21"/>
        <n v="22"/>
        <n v="23"/>
        <n v="1"/>
        <n v="0"/>
        <n v="6"/>
        <n v="2"/>
        <n v="3"/>
        <n v="5"/>
        <n v="4"/>
      </sharedItems>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ount="4">
        <n v="1"/>
        <n v="2"/>
        <n v="3"/>
        <n v="4"/>
      </sharedItems>
    </cacheField>
    <cacheField name="temp" numFmtId="0">
      <sharedItems containsSemiMixedTypes="0" containsString="0" containsNumber="1" minValue="0.02" maxValue="0.46"/>
    </cacheField>
    <cacheField name="dataset_2.atemp" numFmtId="0">
      <sharedItems containsString="0" containsBlank="1" containsNumber="1" minValue="0" maxValue="0.45450000000000002"/>
    </cacheField>
    <cacheField name="dataset_2.hum" numFmtId="0">
      <sharedItems containsSemiMixedTypes="0" containsString="0" containsNumber="1" minValue="0.21" maxValue="1"/>
    </cacheField>
    <cacheField name="dataset_2.windspeed" numFmtId="0">
      <sharedItems containsSemiMixedTypes="0" containsString="0" containsNumber="1" minValue="0" maxValue="0.58209999999999995"/>
    </cacheField>
    <cacheField name="dataset_2.casual" numFmtId="0">
      <sharedItems containsSemiMixedTypes="0" containsString="0" containsNumber="1" containsInteger="1" minValue="0" maxValue="47"/>
    </cacheField>
    <cacheField name="dataset_2.registered" numFmtId="0">
      <sharedItems containsSemiMixedTypes="0" containsString="0" containsNumber="1" containsInteger="1" minValue="0" maxValue="247"/>
    </cacheField>
    <cacheField name="dataset_2.cnt" numFmtId="0">
      <sharedItems containsMixedTypes="1" containsNumber="1" containsInteger="1" minValue="1" maxValue="249" count="165">
        <n v="249"/>
        <s v="238Q144P608P3:Q204PP3:P600"/>
        <n v="225"/>
        <n v="222"/>
        <n v="219"/>
        <n v="217"/>
        <n v="215"/>
        <n v="212"/>
        <n v="210"/>
        <n v="202"/>
        <n v="197"/>
        <n v="195"/>
        <n v="190"/>
        <n v="188"/>
        <n v="187"/>
        <n v="185"/>
        <n v="184"/>
        <n v="182"/>
        <n v="179"/>
        <n v="178"/>
        <n v="177"/>
        <n v="172"/>
        <n v="169"/>
        <n v="166"/>
        <n v="163"/>
        <n v="162"/>
        <n v="161"/>
        <n v="159"/>
        <n v="158"/>
        <n v="157"/>
        <n v="155"/>
        <n v="154"/>
        <n v="153"/>
        <n v="152"/>
        <n v="146"/>
        <n v="144"/>
        <n v="143"/>
        <n v="139"/>
        <n v="137"/>
        <n v="136"/>
        <n v="134"/>
        <n v="133"/>
        <n v="132"/>
        <n v="130"/>
        <n v="129"/>
        <n v="128"/>
        <n v="126"/>
        <n v="125"/>
        <n v="123"/>
        <n v="122"/>
        <n v="120"/>
        <n v="119"/>
        <n v="118"/>
        <n v="117"/>
        <n v="116"/>
        <n v="115"/>
        <n v="113"/>
        <n v="112"/>
        <n v="110"/>
        <n v="109"/>
        <n v="108"/>
        <n v="106"/>
        <n v="105"/>
        <n v="104"/>
        <n v="103"/>
        <n v="102"/>
        <n v="101"/>
        <n v="100"/>
        <n v="99"/>
        <n v="98"/>
        <n v="97"/>
        <n v="96"/>
        <n v="95"/>
        <n v="94"/>
        <n v="93"/>
        <n v="92"/>
        <n v="91"/>
        <n v="90"/>
        <n v="89"/>
        <n v="88"/>
        <n v="87"/>
        <n v="86"/>
        <n v="84"/>
        <n v="83"/>
        <n v="82"/>
        <n v="81"/>
        <n v="80"/>
        <n v="79"/>
        <n v="78"/>
        <n v="77"/>
        <n v="76"/>
        <n v="75"/>
        <n v="74"/>
        <n v="73"/>
        <n v="72"/>
        <n v="71"/>
        <n v="70"/>
        <n v="69"/>
        <n v="68"/>
        <n v="67"/>
        <n v="65"/>
        <n v="64"/>
        <n v="63"/>
        <n v="62"/>
        <n v="61"/>
        <n v="60"/>
        <n v="59"/>
        <n v="58"/>
        <n v="57"/>
        <n v="56"/>
        <n v="55"/>
        <n v="54"/>
        <n v="53"/>
        <n v="52"/>
        <n v="51"/>
        <n v="50"/>
        <n v="49"/>
        <n v="48"/>
        <n v="47"/>
        <n v="46"/>
        <n v="45"/>
        <n v="44"/>
        <n v="43"/>
        <n v="42"/>
        <n v="41"/>
        <n v="40"/>
        <n v="39"/>
        <n v="38"/>
        <n v="37"/>
        <n v="36"/>
        <n v="35"/>
        <n v="34"/>
        <n v="33"/>
        <n v="32"/>
        <n v="31"/>
        <n v="30"/>
        <n v="29"/>
        <n v="28"/>
        <n v="27"/>
        <n v="26"/>
        <n v="25"/>
        <n v="24"/>
        <n v="23"/>
        <n v="22"/>
        <n v="21"/>
        <n v="20"/>
        <n v="19"/>
        <n v="18"/>
        <n v="17"/>
        <n v="16"/>
        <n v="15"/>
        <n v="14"/>
        <n v="13"/>
        <n v="12"/>
        <n v="11"/>
        <n v="10"/>
        <n v="9"/>
        <n v="8"/>
        <n v="7"/>
        <n v="6"/>
        <n v="5"/>
        <n v="4"/>
        <n v="3"/>
        <n v="2"/>
        <n v="1"/>
      </sharedItems>
    </cacheField>
  </cacheFields>
  <extLst>
    <ext xmlns:x14="http://schemas.microsoft.com/office/spreadsheetml/2009/9/main" uri="{725AE2AE-9491-48be-B2B4-4EB974FC3084}">
      <x14:pivotCacheDefinition pivotCacheId="20401986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33.458791898149" createdVersion="8" refreshedVersion="8" minRefreshableVersion="3" recordCount="607" xr:uid="{8F736EF1-7D9A-4D42-9327-F218ADB88FA5}">
  <cacheSource type="worksheet">
    <worksheetSource name="Merge1"/>
  </cacheSource>
  <cacheFields count="16">
    <cacheField name="instant" numFmtId="0">
      <sharedItems containsString="0" containsBlank="1" containsNumber="1" containsInteger="1" minValue="1" maxValue="610"/>
    </cacheField>
    <cacheField name="dteday" numFmtId="14">
      <sharedItems containsNonDate="0" containsDate="1" containsString="0" containsBlank="1" minDate="2011-01-01T00:00:00" maxDate="2011-01-29T00:00:00" count="29">
        <d v="2011-01-20T00:00:00"/>
        <d v="2011-01-25T00:00:00"/>
        <d v="2011-01-06T00:00:00"/>
        <d v="2011-01-11T00:00:00"/>
        <d v="2011-01-21T00:00:00"/>
        <d v="2011-01-04T00:00:00"/>
        <d v="2011-01-07T00:00:00"/>
        <d v="2011-01-13T00:00:00"/>
        <d v="2011-01-19T00:00:00"/>
        <d v="2011-01-05T00:00:00"/>
        <d v="2011-01-10T00:00:00"/>
        <d v="2011-01-24T00:00:00"/>
        <d v="2011-01-14T00:00:00"/>
        <d v="2011-01-03T00:00:00"/>
        <d v="2011-01-28T00:00:00"/>
        <d v="2011-01-12T00:00:00"/>
        <d v="2011-01-18T00:00:00"/>
        <d v="2011-01-15T00:00:00"/>
        <d v="2011-01-16T00:00:00"/>
        <d v="2011-01-23T00:00:00"/>
        <d v="2011-01-01T00:00:00"/>
        <d v="2011-01-27T00:00:00"/>
        <d v="2011-01-22T00:00:00"/>
        <d v="2011-01-08T00:00:00"/>
        <d v="2011-01-02T00:00:00"/>
        <d v="2011-01-17T00:00:00"/>
        <d v="2011-01-09T00:00:00"/>
        <d v="2011-01-26T00:00:00"/>
        <m/>
      </sharedItems>
    </cacheField>
    <cacheField name="season" numFmtId="0">
      <sharedItems containsString="0" containsBlank="1" containsNumber="1" containsInteger="1" minValue="1" maxValue="1"/>
    </cacheField>
    <cacheField name="yr" numFmtId="0">
      <sharedItems containsString="0" containsBlank="1" containsNumber="1" containsInteger="1" minValue="0" maxValue="0"/>
    </cacheField>
    <cacheField name="mnth" numFmtId="0">
      <sharedItems containsString="0" containsBlank="1" containsNumber="1" containsInteger="1" minValue="1" maxValue="1"/>
    </cacheField>
    <cacheField name="hr" numFmtId="0">
      <sharedItems containsString="0" containsBlank="1" containsNumber="1" containsInteger="1" minValue="0" maxValue="23" count="25">
        <n v="8"/>
        <n v="18"/>
        <n v="17"/>
        <n v="9"/>
        <n v="19"/>
        <n v="15"/>
        <n v="16"/>
        <n v="20"/>
        <n v="14"/>
        <n v="13"/>
        <n v="12"/>
        <n v="7"/>
        <n v="11"/>
        <n v="10"/>
        <n v="21"/>
        <n v="22"/>
        <n v="23"/>
        <n v="1"/>
        <n v="0"/>
        <n v="6"/>
        <n v="2"/>
        <n v="3"/>
        <n v="5"/>
        <n v="4"/>
        <m/>
      </sharedItems>
    </cacheField>
    <cacheField name="holiday" numFmtId="0">
      <sharedItems containsBlank="1"/>
    </cacheField>
    <cacheField name="weekday" numFmtId="0">
      <sharedItems containsString="0" containsBlank="1" containsNumber="1" containsInteger="1" minValue="0" maxValue="6" count="8">
        <n v="4"/>
        <n v="2"/>
        <n v="5"/>
        <n v="3"/>
        <n v="1"/>
        <n v="6"/>
        <n v="0"/>
        <m/>
      </sharedItems>
    </cacheField>
    <cacheField name="weathersit" numFmtId="0">
      <sharedItems containsString="0" containsBlank="1" containsNumber="1" containsInteger="1" minValue="1" maxValue="4" count="5">
        <n v="1"/>
        <n v="2"/>
        <n v="3"/>
        <n v="4"/>
        <m/>
      </sharedItems>
    </cacheField>
    <cacheField name="temp" numFmtId="0">
      <sharedItems containsString="0" containsBlank="1" containsNumber="1" minValue="0.02" maxValue="0.46"/>
    </cacheField>
    <cacheField name="dataset_2.atemp" numFmtId="0">
      <sharedItems containsString="0" containsBlank="1" containsNumber="1" minValue="0" maxValue="0.45450000000000002"/>
    </cacheField>
    <cacheField name="dataset_2.hum" numFmtId="0">
      <sharedItems containsString="0" containsBlank="1" containsNumber="1" minValue="0.21" maxValue="1"/>
    </cacheField>
    <cacheField name="dataset_2.windspeed" numFmtId="0">
      <sharedItems containsString="0" containsBlank="1" containsNumber="1" minValue="0" maxValue="0.58209999999999995"/>
    </cacheField>
    <cacheField name="dataset_2.casual" numFmtId="0">
      <sharedItems containsString="0" containsBlank="1" containsNumber="1" containsInteger="1" minValue="0" maxValue="47" count="33">
        <n v="2"/>
        <n v="5"/>
        <n v="7"/>
        <n v="14"/>
        <n v="3"/>
        <n v="8"/>
        <n v="10"/>
        <n v="20"/>
        <n v="1"/>
        <n v="4"/>
        <n v="9"/>
        <n v="6"/>
        <n v="11"/>
        <n v="13"/>
        <n v="0"/>
        <n v="21"/>
        <n v="33"/>
        <n v="16"/>
        <n v="26"/>
        <n v="23"/>
        <n v="24"/>
        <n v="35"/>
        <n v="40"/>
        <n v="17"/>
        <n v="29"/>
        <n v="22"/>
        <n v="12"/>
        <n v="18"/>
        <n v="47"/>
        <n v="41"/>
        <n v="15"/>
        <n v="19"/>
        <m/>
      </sharedItems>
    </cacheField>
    <cacheField name="dataset_2.registered" numFmtId="0">
      <sharedItems containsString="0" containsBlank="1" containsNumber="1" containsInteger="1" minValue="0" maxValue="247" count="151">
        <n v="247"/>
        <n v="233"/>
        <n v="218"/>
        <n v="208"/>
        <n v="216"/>
        <n v="214"/>
        <n v="210"/>
        <n v="207"/>
        <n v="202"/>
        <n v="190"/>
        <n v="197"/>
        <n v="196"/>
        <n v="192"/>
        <n v="186"/>
        <n v="184"/>
        <n v="178"/>
        <n v="179"/>
        <n v="177"/>
        <n v="174"/>
        <n v="171"/>
        <n v="163"/>
        <n v="166"/>
        <n v="159"/>
        <n v="158"/>
        <n v="156"/>
        <n v="151"/>
        <n v="155"/>
        <n v="146"/>
        <n v="148"/>
        <n v="154"/>
        <n v="153"/>
        <n v="145"/>
        <n v="133"/>
        <n v="141"/>
        <n v="134"/>
        <n v="140"/>
        <n v="139"/>
        <n v="137"/>
        <n v="135"/>
        <n v="130"/>
        <n v="125"/>
        <n v="132"/>
        <n v="127"/>
        <n v="108"/>
        <n v="95"/>
        <n v="124"/>
        <n v="116"/>
        <n v="119"/>
        <n v="103"/>
        <n v="92"/>
        <n v="117"/>
        <n v="102"/>
        <n v="109"/>
        <n v="78"/>
        <n v="110"/>
        <n v="70"/>
        <n v="93"/>
        <n v="107"/>
        <n v="71"/>
        <n v="101"/>
        <n v="85"/>
        <n v="82"/>
        <n v="75"/>
        <n v="94"/>
        <n v="98"/>
        <n v="80"/>
        <n v="100"/>
        <n v="97"/>
        <n v="77"/>
        <n v="90"/>
        <n v="86"/>
        <n v="79"/>
        <n v="83"/>
        <n v="47"/>
        <n v="52"/>
        <n v="73"/>
        <n v="72"/>
        <n v="89"/>
        <n v="69"/>
        <n v="87"/>
        <n v="74"/>
        <n v="81"/>
        <n v="55"/>
        <n v="76"/>
        <n v="63"/>
        <n v="68"/>
        <n v="54"/>
        <n v="66"/>
        <n v="67"/>
        <n v="64"/>
        <n v="60"/>
        <n v="65"/>
        <n v="58"/>
        <n v="59"/>
        <n v="62"/>
        <n v="57"/>
        <n v="48"/>
        <n v="56"/>
        <n v="61"/>
        <n v="53"/>
        <n v="50"/>
        <n v="51"/>
        <n v="30"/>
        <n v="49"/>
        <n v="46"/>
        <n v="43"/>
        <n v="41"/>
        <n v="45"/>
        <n v="44"/>
        <n v="39"/>
        <n v="34"/>
        <n v="42"/>
        <n v="40"/>
        <n v="33"/>
        <n v="37"/>
        <n v="35"/>
        <n v="32"/>
        <n v="24"/>
        <n v="38"/>
        <n v="36"/>
        <n v="31"/>
        <n v="25"/>
        <n v="26"/>
        <n v="29"/>
        <n v="27"/>
        <n v="20"/>
        <n v="28"/>
        <n v="23"/>
        <n v="17"/>
        <n v="22"/>
        <n v="21"/>
        <n v="19"/>
        <n v="18"/>
        <n v="15"/>
        <n v="13"/>
        <n v="16"/>
        <n v="14"/>
        <n v="10"/>
        <n v="6"/>
        <n v="9"/>
        <n v="8"/>
        <n v="12"/>
        <n v="11"/>
        <n v="7"/>
        <n v="5"/>
        <n v="4"/>
        <n v="3"/>
        <n v="2"/>
        <n v="1"/>
        <n v="0"/>
        <m/>
      </sharedItems>
    </cacheField>
    <cacheField name="dataset_2.cnt" numFmtId="0">
      <sharedItems containsBlank="1" containsMixedTypes="1" containsNumber="1" containsInteger="1" minValue="1" maxValue="249" count="166">
        <n v="249"/>
        <s v="238Q144P608P3:Q204PP3:P600"/>
        <n v="225"/>
        <n v="222"/>
        <n v="219"/>
        <n v="217"/>
        <n v="215"/>
        <n v="212"/>
        <n v="210"/>
        <n v="202"/>
        <n v="197"/>
        <n v="195"/>
        <n v="190"/>
        <n v="188"/>
        <n v="187"/>
        <n v="185"/>
        <n v="184"/>
        <n v="182"/>
        <n v="179"/>
        <n v="178"/>
        <n v="177"/>
        <n v="172"/>
        <n v="169"/>
        <n v="166"/>
        <n v="163"/>
        <n v="162"/>
        <n v="161"/>
        <n v="159"/>
        <n v="158"/>
        <n v="157"/>
        <n v="155"/>
        <n v="154"/>
        <n v="153"/>
        <n v="152"/>
        <n v="146"/>
        <n v="144"/>
        <n v="143"/>
        <n v="139"/>
        <n v="137"/>
        <n v="136"/>
        <n v="134"/>
        <n v="133"/>
        <n v="132"/>
        <n v="130"/>
        <n v="129"/>
        <n v="128"/>
        <n v="126"/>
        <n v="125"/>
        <n v="123"/>
        <n v="122"/>
        <n v="120"/>
        <n v="119"/>
        <n v="118"/>
        <n v="117"/>
        <n v="116"/>
        <n v="115"/>
        <n v="113"/>
        <n v="112"/>
        <n v="110"/>
        <n v="109"/>
        <n v="108"/>
        <n v="106"/>
        <n v="105"/>
        <n v="104"/>
        <n v="103"/>
        <n v="102"/>
        <n v="101"/>
        <n v="100"/>
        <n v="99"/>
        <n v="98"/>
        <n v="97"/>
        <n v="96"/>
        <n v="95"/>
        <n v="94"/>
        <n v="93"/>
        <n v="92"/>
        <n v="91"/>
        <n v="90"/>
        <n v="89"/>
        <n v="88"/>
        <n v="87"/>
        <n v="86"/>
        <n v="84"/>
        <n v="83"/>
        <n v="82"/>
        <n v="81"/>
        <n v="80"/>
        <n v="79"/>
        <n v="78"/>
        <n v="77"/>
        <n v="76"/>
        <n v="75"/>
        <n v="74"/>
        <n v="73"/>
        <n v="72"/>
        <n v="71"/>
        <n v="70"/>
        <n v="69"/>
        <n v="68"/>
        <n v="67"/>
        <n v="65"/>
        <n v="64"/>
        <n v="63"/>
        <n v="62"/>
        <n v="61"/>
        <n v="60"/>
        <n v="59"/>
        <n v="58"/>
        <n v="57"/>
        <n v="56"/>
        <n v="55"/>
        <n v="54"/>
        <n v="53"/>
        <n v="52"/>
        <n v="51"/>
        <n v="50"/>
        <n v="49"/>
        <n v="48"/>
        <n v="47"/>
        <n v="46"/>
        <n v="45"/>
        <n v="44"/>
        <n v="43"/>
        <n v="42"/>
        <n v="41"/>
        <n v="40"/>
        <n v="39"/>
        <n v="38"/>
        <n v="37"/>
        <n v="36"/>
        <n v="35"/>
        <n v="34"/>
        <n v="33"/>
        <n v="32"/>
        <n v="31"/>
        <n v="30"/>
        <n v="29"/>
        <n v="28"/>
        <n v="27"/>
        <n v="26"/>
        <n v="25"/>
        <n v="24"/>
        <n v="23"/>
        <n v="22"/>
        <n v="21"/>
        <n v="20"/>
        <n v="19"/>
        <n v="18"/>
        <n v="17"/>
        <n v="16"/>
        <n v="15"/>
        <n v="14"/>
        <n v="13"/>
        <n v="12"/>
        <n v="11"/>
        <n v="10"/>
        <n v="9"/>
        <n v="8"/>
        <n v="7"/>
        <n v="6"/>
        <n v="5"/>
        <n v="4"/>
        <n v="3"/>
        <n v="2"/>
        <n v="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6">
  <r>
    <x v="0"/>
    <x v="0"/>
    <x v="0"/>
    <x v="0"/>
    <x v="0"/>
    <b v="0"/>
    <n v="4"/>
    <x v="0"/>
    <n v="0.22"/>
    <n v="0.21210000000000001"/>
    <n v="0.55000000000000004"/>
    <n v="0.28360000000000002"/>
    <n v="2"/>
    <n v="247"/>
    <x v="0"/>
  </r>
  <r>
    <x v="1"/>
    <x v="0"/>
    <x v="0"/>
    <x v="0"/>
    <x v="0"/>
    <b v="0"/>
    <n v="2"/>
    <x v="1"/>
    <n v="0.16"/>
    <n v="0.18179999999999999"/>
    <n v="0.74"/>
    <n v="0.1343"/>
    <n v="5"/>
    <n v="233"/>
    <x v="1"/>
  </r>
  <r>
    <x v="1"/>
    <x v="0"/>
    <x v="0"/>
    <x v="0"/>
    <x v="1"/>
    <b v="0"/>
    <n v="2"/>
    <x v="1"/>
    <n v="0.3"/>
    <n v="0.31819999999999998"/>
    <n v="0.49"/>
    <n v="8.9599999999999999E-2"/>
    <n v="7"/>
    <n v="218"/>
    <x v="2"/>
  </r>
  <r>
    <x v="1"/>
    <x v="0"/>
    <x v="0"/>
    <x v="0"/>
    <x v="2"/>
    <b v="0"/>
    <n v="2"/>
    <x v="0"/>
    <n v="0.3"/>
    <n v="0.33329999999999999"/>
    <n v="0.45"/>
    <n v="0"/>
    <n v="14"/>
    <n v="208"/>
    <x v="3"/>
  </r>
  <r>
    <x v="2"/>
    <x v="0"/>
    <x v="0"/>
    <x v="0"/>
    <x v="0"/>
    <b v="0"/>
    <n v="4"/>
    <x v="0"/>
    <n v="0.16"/>
    <n v="0.2273"/>
    <n v="0.59"/>
    <n v="0"/>
    <n v="3"/>
    <n v="216"/>
    <x v="4"/>
  </r>
  <r>
    <x v="3"/>
    <x v="0"/>
    <x v="0"/>
    <x v="0"/>
    <x v="0"/>
    <b v="0"/>
    <n v="2"/>
    <x v="1"/>
    <n v="0.18"/>
    <n v="0.21210000000000001"/>
    <n v="0.51"/>
    <n v="8.9599999999999999E-2"/>
    <n v="3"/>
    <n v="214"/>
    <x v="5"/>
  </r>
  <r>
    <x v="4"/>
    <x v="0"/>
    <x v="0"/>
    <x v="0"/>
    <x v="0"/>
    <b v="0"/>
    <n v="5"/>
    <x v="0"/>
    <n v="0.2"/>
    <n v="0.18179999999999999"/>
    <n v="0.47"/>
    <n v="0.32840000000000003"/>
    <n v="7"/>
    <n v="210"/>
    <x v="5"/>
  </r>
  <r>
    <x v="0"/>
    <x v="0"/>
    <x v="0"/>
    <x v="0"/>
    <x v="2"/>
    <b v="0"/>
    <n v="4"/>
    <x v="1"/>
    <n v="0.3"/>
    <n v="0.31819999999999998"/>
    <n v="0.49"/>
    <n v="0.1045"/>
    <n v="8"/>
    <n v="207"/>
    <x v="6"/>
  </r>
  <r>
    <x v="5"/>
    <x v="0"/>
    <x v="0"/>
    <x v="0"/>
    <x v="2"/>
    <b v="0"/>
    <n v="2"/>
    <x v="0"/>
    <n v="0.28000000000000003"/>
    <n v="0.2727"/>
    <n v="0.48"/>
    <n v="0.22389999999999999"/>
    <n v="10"/>
    <n v="202"/>
    <x v="7"/>
  </r>
  <r>
    <x v="6"/>
    <x v="0"/>
    <x v="0"/>
    <x v="0"/>
    <x v="0"/>
    <b v="0"/>
    <n v="5"/>
    <x v="0"/>
    <n v="0.2"/>
    <n v="0.19700000000000001"/>
    <n v="0.51"/>
    <n v="0.25369999999999998"/>
    <n v="20"/>
    <n v="190"/>
    <x v="8"/>
  </r>
  <r>
    <x v="7"/>
    <x v="0"/>
    <x v="0"/>
    <x v="0"/>
    <x v="0"/>
    <b v="0"/>
    <n v="4"/>
    <x v="0"/>
    <n v="0.14000000000000001"/>
    <n v="0.13639999999999999"/>
    <n v="0.5"/>
    <n v="0.19400000000000001"/>
    <n v="5"/>
    <n v="197"/>
    <x v="9"/>
  </r>
  <r>
    <x v="8"/>
    <x v="0"/>
    <x v="0"/>
    <x v="0"/>
    <x v="0"/>
    <b v="0"/>
    <n v="3"/>
    <x v="1"/>
    <n v="0.24"/>
    <n v="0.2576"/>
    <n v="0.93"/>
    <n v="0.1045"/>
    <n v="1"/>
    <n v="196"/>
    <x v="10"/>
  </r>
  <r>
    <x v="8"/>
    <x v="0"/>
    <x v="0"/>
    <x v="0"/>
    <x v="2"/>
    <b v="0"/>
    <n v="3"/>
    <x v="0"/>
    <n v="0.36"/>
    <n v="0.33329999999999999"/>
    <n v="0.56999999999999995"/>
    <n v="0.32840000000000003"/>
    <n v="7"/>
    <n v="190"/>
    <x v="10"/>
  </r>
  <r>
    <x v="9"/>
    <x v="0"/>
    <x v="0"/>
    <x v="0"/>
    <x v="0"/>
    <b v="0"/>
    <n v="3"/>
    <x v="0"/>
    <n v="0.2"/>
    <n v="0.18179999999999999"/>
    <n v="0.4"/>
    <n v="0.29849999999999999"/>
    <n v="3"/>
    <n v="192"/>
    <x v="11"/>
  </r>
  <r>
    <x v="9"/>
    <x v="0"/>
    <x v="0"/>
    <x v="0"/>
    <x v="2"/>
    <b v="0"/>
    <n v="3"/>
    <x v="0"/>
    <n v="0.24"/>
    <n v="0.2273"/>
    <n v="0.38"/>
    <n v="0.19400000000000001"/>
    <n v="4"/>
    <n v="186"/>
    <x v="12"/>
  </r>
  <r>
    <x v="10"/>
    <x v="0"/>
    <x v="0"/>
    <x v="0"/>
    <x v="0"/>
    <b v="0"/>
    <n v="1"/>
    <x v="1"/>
    <n v="0.12"/>
    <n v="0.1212"/>
    <n v="0.5"/>
    <n v="0.28360000000000002"/>
    <n v="4"/>
    <n v="184"/>
    <x v="13"/>
  </r>
  <r>
    <x v="6"/>
    <x v="0"/>
    <x v="0"/>
    <x v="0"/>
    <x v="2"/>
    <b v="0"/>
    <n v="5"/>
    <x v="1"/>
    <n v="0.2"/>
    <n v="0.2576"/>
    <n v="0.37"/>
    <n v="0"/>
    <n v="9"/>
    <n v="178"/>
    <x v="14"/>
  </r>
  <r>
    <x v="0"/>
    <x v="0"/>
    <x v="0"/>
    <x v="0"/>
    <x v="1"/>
    <b v="0"/>
    <n v="4"/>
    <x v="1"/>
    <n v="0.26"/>
    <n v="0.2576"/>
    <n v="0.56000000000000005"/>
    <n v="0.19400000000000001"/>
    <n v="1"/>
    <n v="184"/>
    <x v="15"/>
  </r>
  <r>
    <x v="11"/>
    <x v="0"/>
    <x v="0"/>
    <x v="0"/>
    <x v="2"/>
    <b v="0"/>
    <n v="1"/>
    <x v="0"/>
    <n v="0.14000000000000001"/>
    <n v="0.1212"/>
    <n v="0.5"/>
    <n v="0.25369999999999998"/>
    <n v="6"/>
    <n v="178"/>
    <x v="16"/>
  </r>
  <r>
    <x v="5"/>
    <x v="0"/>
    <x v="0"/>
    <x v="0"/>
    <x v="1"/>
    <b v="0"/>
    <n v="2"/>
    <x v="0"/>
    <n v="0.26"/>
    <n v="0.2576"/>
    <n v="0.48"/>
    <n v="0.19400000000000001"/>
    <n v="3"/>
    <n v="179"/>
    <x v="17"/>
  </r>
  <r>
    <x v="5"/>
    <x v="0"/>
    <x v="0"/>
    <x v="0"/>
    <x v="0"/>
    <b v="0"/>
    <n v="2"/>
    <x v="0"/>
    <n v="0.14000000000000001"/>
    <n v="0.1515"/>
    <n v="0.69"/>
    <n v="0.16420000000000001"/>
    <n v="2"/>
    <n v="177"/>
    <x v="18"/>
  </r>
  <r>
    <x v="10"/>
    <x v="0"/>
    <x v="0"/>
    <x v="0"/>
    <x v="2"/>
    <b v="0"/>
    <n v="1"/>
    <x v="0"/>
    <n v="0.2"/>
    <n v="0.2273"/>
    <n v="0.4"/>
    <n v="0.1045"/>
    <n v="4"/>
    <n v="174"/>
    <x v="19"/>
  </r>
  <r>
    <x v="11"/>
    <x v="0"/>
    <x v="0"/>
    <x v="0"/>
    <x v="0"/>
    <b v="0"/>
    <n v="1"/>
    <x v="0"/>
    <n v="0.04"/>
    <n v="0.13639999999999999"/>
    <n v="0.49"/>
    <n v="0"/>
    <n v="6"/>
    <n v="171"/>
    <x v="20"/>
  </r>
  <r>
    <x v="2"/>
    <x v="0"/>
    <x v="0"/>
    <x v="0"/>
    <x v="2"/>
    <b v="0"/>
    <n v="4"/>
    <x v="0"/>
    <n v="0.22"/>
    <n v="0.2273"/>
    <n v="0.51"/>
    <n v="0.16420000000000001"/>
    <n v="9"/>
    <n v="163"/>
    <x v="21"/>
  </r>
  <r>
    <x v="9"/>
    <x v="0"/>
    <x v="0"/>
    <x v="0"/>
    <x v="1"/>
    <b v="0"/>
    <n v="3"/>
    <x v="0"/>
    <n v="0.24"/>
    <n v="0.2424"/>
    <n v="0.38"/>
    <n v="0.1343"/>
    <n v="3"/>
    <n v="166"/>
    <x v="22"/>
  </r>
  <r>
    <x v="4"/>
    <x v="0"/>
    <x v="0"/>
    <x v="0"/>
    <x v="3"/>
    <b v="0"/>
    <n v="5"/>
    <x v="0"/>
    <n v="0.2"/>
    <n v="0.18179999999999999"/>
    <n v="0.51"/>
    <n v="0.35820000000000002"/>
    <n v="7"/>
    <n v="159"/>
    <x v="23"/>
  </r>
  <r>
    <x v="2"/>
    <x v="0"/>
    <x v="0"/>
    <x v="0"/>
    <x v="1"/>
    <b v="0"/>
    <n v="4"/>
    <x v="0"/>
    <n v="0.22"/>
    <n v="0.2273"/>
    <n v="0.51"/>
    <n v="0.1343"/>
    <n v="5"/>
    <n v="158"/>
    <x v="24"/>
  </r>
  <r>
    <x v="7"/>
    <x v="0"/>
    <x v="0"/>
    <x v="0"/>
    <x v="2"/>
    <b v="0"/>
    <n v="4"/>
    <x v="0"/>
    <n v="0.2"/>
    <n v="0.18179999999999999"/>
    <n v="0.4"/>
    <n v="0.28360000000000002"/>
    <n v="4"/>
    <n v="158"/>
    <x v="25"/>
  </r>
  <r>
    <x v="8"/>
    <x v="0"/>
    <x v="0"/>
    <x v="0"/>
    <x v="1"/>
    <b v="0"/>
    <n v="3"/>
    <x v="0"/>
    <n v="0.34"/>
    <n v="0.31819999999999998"/>
    <n v="0.61"/>
    <n v="0.28360000000000002"/>
    <n v="5"/>
    <n v="156"/>
    <x v="26"/>
  </r>
  <r>
    <x v="4"/>
    <x v="0"/>
    <x v="0"/>
    <x v="0"/>
    <x v="2"/>
    <b v="0"/>
    <n v="5"/>
    <x v="0"/>
    <n v="0.14000000000000001"/>
    <n v="0.1212"/>
    <n v="0.28000000000000003"/>
    <n v="0.35820000000000002"/>
    <n v="10"/>
    <n v="151"/>
    <x v="26"/>
  </r>
  <r>
    <x v="12"/>
    <x v="0"/>
    <x v="0"/>
    <x v="0"/>
    <x v="2"/>
    <b v="0"/>
    <n v="5"/>
    <x v="0"/>
    <n v="0.22"/>
    <n v="0.2273"/>
    <n v="0.41"/>
    <n v="0.16420000000000001"/>
    <n v="4"/>
    <n v="155"/>
    <x v="27"/>
  </r>
  <r>
    <x v="12"/>
    <x v="0"/>
    <x v="0"/>
    <x v="0"/>
    <x v="0"/>
    <b v="0"/>
    <n v="5"/>
    <x v="0"/>
    <n v="0.12"/>
    <n v="0.16669999999999999"/>
    <n v="0.68"/>
    <n v="0"/>
    <n v="2"/>
    <n v="156"/>
    <x v="28"/>
  </r>
  <r>
    <x v="13"/>
    <x v="0"/>
    <x v="0"/>
    <x v="0"/>
    <x v="2"/>
    <b v="0"/>
    <n v="1"/>
    <x v="0"/>
    <n v="0.24"/>
    <n v="0.2273"/>
    <n v="0.3"/>
    <n v="0.22389999999999999"/>
    <n v="11"/>
    <n v="146"/>
    <x v="29"/>
  </r>
  <r>
    <x v="13"/>
    <x v="0"/>
    <x v="0"/>
    <x v="0"/>
    <x v="1"/>
    <b v="0"/>
    <n v="1"/>
    <x v="0"/>
    <n v="0.24"/>
    <n v="0.2576"/>
    <n v="0.32"/>
    <n v="0.1045"/>
    <n v="9"/>
    <n v="148"/>
    <x v="29"/>
  </r>
  <r>
    <x v="14"/>
    <x v="0"/>
    <x v="0"/>
    <x v="0"/>
    <x v="0"/>
    <b v="0"/>
    <n v="5"/>
    <x v="1"/>
    <n v="0.16"/>
    <n v="0.19700000000000001"/>
    <n v="0.86"/>
    <n v="8.9599999999999999E-2"/>
    <n v="2"/>
    <n v="155"/>
    <x v="29"/>
  </r>
  <r>
    <x v="10"/>
    <x v="0"/>
    <x v="0"/>
    <x v="0"/>
    <x v="1"/>
    <b v="0"/>
    <n v="1"/>
    <x v="0"/>
    <n v="0.2"/>
    <n v="0.19700000000000001"/>
    <n v="0.4"/>
    <n v="0.22389999999999999"/>
    <n v="1"/>
    <n v="154"/>
    <x v="30"/>
  </r>
  <r>
    <x v="13"/>
    <x v="0"/>
    <x v="0"/>
    <x v="0"/>
    <x v="0"/>
    <b v="0"/>
    <n v="1"/>
    <x v="0"/>
    <n v="0.14000000000000001"/>
    <n v="0.1212"/>
    <n v="0.5"/>
    <n v="0.28360000000000002"/>
    <n v="1"/>
    <n v="153"/>
    <x v="31"/>
  </r>
  <r>
    <x v="11"/>
    <x v="0"/>
    <x v="0"/>
    <x v="0"/>
    <x v="1"/>
    <b v="0"/>
    <n v="1"/>
    <x v="0"/>
    <n v="0.14000000000000001"/>
    <n v="0.13639999999999999"/>
    <n v="0.59"/>
    <n v="0.19400000000000001"/>
    <n v="8"/>
    <n v="145"/>
    <x v="32"/>
  </r>
  <r>
    <x v="0"/>
    <x v="0"/>
    <x v="0"/>
    <x v="0"/>
    <x v="4"/>
    <b v="0"/>
    <n v="4"/>
    <x v="0"/>
    <n v="0.26"/>
    <n v="0.2273"/>
    <n v="0.56000000000000005"/>
    <n v="0.32840000000000003"/>
    <n v="6"/>
    <n v="146"/>
    <x v="33"/>
  </r>
  <r>
    <x v="1"/>
    <x v="0"/>
    <x v="0"/>
    <x v="0"/>
    <x v="4"/>
    <b v="0"/>
    <n v="2"/>
    <x v="1"/>
    <n v="0.26"/>
    <n v="0.2576"/>
    <n v="0.65"/>
    <n v="0.16420000000000001"/>
    <n v="13"/>
    <n v="133"/>
    <x v="34"/>
  </r>
  <r>
    <x v="7"/>
    <x v="0"/>
    <x v="0"/>
    <x v="0"/>
    <x v="1"/>
    <b v="0"/>
    <n v="4"/>
    <x v="0"/>
    <n v="0.2"/>
    <n v="0.18179999999999999"/>
    <n v="0.4"/>
    <n v="0.32840000000000003"/>
    <n v="3"/>
    <n v="141"/>
    <x v="35"/>
  </r>
  <r>
    <x v="1"/>
    <x v="0"/>
    <x v="0"/>
    <x v="0"/>
    <x v="3"/>
    <b v="0"/>
    <n v="2"/>
    <x v="1"/>
    <n v="0.2"/>
    <n v="0.2273"/>
    <n v="0.64"/>
    <n v="8.9599999999999999E-2"/>
    <n v="10"/>
    <n v="134"/>
    <x v="35"/>
  </r>
  <r>
    <x v="0"/>
    <x v="0"/>
    <x v="0"/>
    <x v="0"/>
    <x v="3"/>
    <b v="0"/>
    <n v="4"/>
    <x v="1"/>
    <n v="0.24"/>
    <n v="0.2273"/>
    <n v="0.52"/>
    <n v="0.22389999999999999"/>
    <n v="3"/>
    <n v="140"/>
    <x v="36"/>
  </r>
  <r>
    <x v="15"/>
    <x v="0"/>
    <x v="0"/>
    <x v="0"/>
    <x v="2"/>
    <b v="0"/>
    <n v="3"/>
    <x v="0"/>
    <n v="0.2"/>
    <n v="0.18179999999999999"/>
    <n v="0.47"/>
    <n v="0.35820000000000002"/>
    <n v="0"/>
    <n v="139"/>
    <x v="37"/>
  </r>
  <r>
    <x v="7"/>
    <x v="0"/>
    <x v="0"/>
    <x v="0"/>
    <x v="3"/>
    <b v="0"/>
    <n v="4"/>
    <x v="0"/>
    <n v="0.14000000000000001"/>
    <n v="0.1212"/>
    <n v="0.5"/>
    <n v="0.32840000000000003"/>
    <n v="2"/>
    <n v="137"/>
    <x v="37"/>
  </r>
  <r>
    <x v="12"/>
    <x v="0"/>
    <x v="0"/>
    <x v="0"/>
    <x v="1"/>
    <b v="0"/>
    <n v="5"/>
    <x v="0"/>
    <n v="0.2"/>
    <n v="0.2576"/>
    <n v="0.47"/>
    <n v="0"/>
    <n v="5"/>
    <n v="134"/>
    <x v="37"/>
  </r>
  <r>
    <x v="15"/>
    <x v="0"/>
    <x v="0"/>
    <x v="0"/>
    <x v="1"/>
    <b v="0"/>
    <n v="3"/>
    <x v="0"/>
    <n v="0.2"/>
    <n v="0.1515"/>
    <n v="0.47"/>
    <n v="0.52239999999999998"/>
    <n v="2"/>
    <n v="135"/>
    <x v="38"/>
  </r>
  <r>
    <x v="3"/>
    <x v="0"/>
    <x v="0"/>
    <x v="0"/>
    <x v="2"/>
    <b v="0"/>
    <n v="2"/>
    <x v="1"/>
    <n v="0.16"/>
    <n v="0.1515"/>
    <n v="0.86"/>
    <n v="0.22389999999999999"/>
    <n v="6"/>
    <n v="130"/>
    <x v="39"/>
  </r>
  <r>
    <x v="6"/>
    <x v="0"/>
    <x v="0"/>
    <x v="0"/>
    <x v="3"/>
    <b v="0"/>
    <n v="5"/>
    <x v="0"/>
    <n v="0.2"/>
    <n v="0.18179999999999999"/>
    <n v="0.47"/>
    <n v="0.29849999999999999"/>
    <n v="9"/>
    <n v="125"/>
    <x v="40"/>
  </r>
  <r>
    <x v="16"/>
    <x v="0"/>
    <x v="0"/>
    <x v="0"/>
    <x v="1"/>
    <b v="0"/>
    <n v="2"/>
    <x v="1"/>
    <n v="0.22"/>
    <n v="0.2273"/>
    <n v="0.8"/>
    <n v="0.16420000000000001"/>
    <n v="1"/>
    <n v="132"/>
    <x v="41"/>
  </r>
  <r>
    <x v="9"/>
    <x v="0"/>
    <x v="0"/>
    <x v="0"/>
    <x v="4"/>
    <b v="0"/>
    <n v="3"/>
    <x v="0"/>
    <n v="0.24"/>
    <n v="0.2576"/>
    <n v="0.38"/>
    <n v="0.1045"/>
    <n v="5"/>
    <n v="127"/>
    <x v="42"/>
  </r>
  <r>
    <x v="3"/>
    <x v="0"/>
    <x v="0"/>
    <x v="0"/>
    <x v="3"/>
    <b v="0"/>
    <n v="2"/>
    <x v="1"/>
    <n v="0.18"/>
    <n v="0.19700000000000001"/>
    <n v="0.51"/>
    <n v="0.16420000000000001"/>
    <n v="3"/>
    <n v="127"/>
    <x v="43"/>
  </r>
  <r>
    <x v="17"/>
    <x v="0"/>
    <x v="0"/>
    <x v="0"/>
    <x v="5"/>
    <b v="0"/>
    <n v="6"/>
    <x v="1"/>
    <n v="0.32"/>
    <n v="0.31819999999999998"/>
    <n v="0.36"/>
    <n v="0.19400000000000001"/>
    <n v="21"/>
    <n v="108"/>
    <x v="44"/>
  </r>
  <r>
    <x v="15"/>
    <x v="0"/>
    <x v="0"/>
    <x v="0"/>
    <x v="0"/>
    <b v="0"/>
    <n v="3"/>
    <x v="0"/>
    <n v="0.16"/>
    <n v="0.16669999999999999"/>
    <n v="0.59"/>
    <n v="0.16420000000000001"/>
    <n v="3"/>
    <n v="125"/>
    <x v="45"/>
  </r>
  <r>
    <x v="17"/>
    <x v="0"/>
    <x v="0"/>
    <x v="0"/>
    <x v="6"/>
    <b v="0"/>
    <n v="6"/>
    <x v="1"/>
    <n v="0.34"/>
    <n v="0.33329999999999999"/>
    <n v="0.34"/>
    <n v="0.19400000000000001"/>
    <n v="33"/>
    <n v="95"/>
    <x v="45"/>
  </r>
  <r>
    <x v="0"/>
    <x v="0"/>
    <x v="0"/>
    <x v="0"/>
    <x v="7"/>
    <b v="0"/>
    <n v="4"/>
    <x v="1"/>
    <n v="0.26"/>
    <n v="0.2424"/>
    <n v="0.6"/>
    <n v="0.28360000000000002"/>
    <n v="2"/>
    <n v="124"/>
    <x v="46"/>
  </r>
  <r>
    <x v="16"/>
    <x v="0"/>
    <x v="0"/>
    <x v="0"/>
    <x v="2"/>
    <b v="0"/>
    <n v="2"/>
    <x v="1"/>
    <n v="0.22"/>
    <n v="0.2273"/>
    <n v="0.82"/>
    <n v="0.19400000000000001"/>
    <n v="1"/>
    <n v="124"/>
    <x v="47"/>
  </r>
  <r>
    <x v="6"/>
    <x v="0"/>
    <x v="0"/>
    <x v="0"/>
    <x v="1"/>
    <b v="0"/>
    <n v="5"/>
    <x v="0"/>
    <n v="0.2"/>
    <n v="0.2273"/>
    <n v="0.4"/>
    <n v="8.9599999999999999E-2"/>
    <n v="7"/>
    <n v="116"/>
    <x v="48"/>
  </r>
  <r>
    <x v="2"/>
    <x v="0"/>
    <x v="0"/>
    <x v="0"/>
    <x v="3"/>
    <b v="0"/>
    <n v="4"/>
    <x v="1"/>
    <n v="0.18"/>
    <n v="0.2424"/>
    <n v="0.51"/>
    <n v="0"/>
    <n v="6"/>
    <n v="116"/>
    <x v="49"/>
  </r>
  <r>
    <x v="4"/>
    <x v="0"/>
    <x v="0"/>
    <x v="0"/>
    <x v="1"/>
    <b v="0"/>
    <n v="5"/>
    <x v="0"/>
    <n v="0.12"/>
    <n v="0.1212"/>
    <n v="0.3"/>
    <n v="0.25369999999999998"/>
    <n v="1"/>
    <n v="119"/>
    <x v="50"/>
  </r>
  <r>
    <x v="1"/>
    <x v="0"/>
    <x v="0"/>
    <x v="0"/>
    <x v="7"/>
    <b v="0"/>
    <n v="2"/>
    <x v="0"/>
    <n v="0.24"/>
    <n v="0.2273"/>
    <n v="0.65"/>
    <n v="0.19400000000000001"/>
    <n v="16"/>
    <n v="103"/>
    <x v="51"/>
  </r>
  <r>
    <x v="17"/>
    <x v="0"/>
    <x v="0"/>
    <x v="0"/>
    <x v="8"/>
    <b v="0"/>
    <n v="6"/>
    <x v="0"/>
    <n v="0.3"/>
    <n v="0.28789999999999999"/>
    <n v="0.39"/>
    <n v="0.28360000000000002"/>
    <n v="26"/>
    <n v="92"/>
    <x v="52"/>
  </r>
  <r>
    <x v="18"/>
    <x v="0"/>
    <x v="0"/>
    <x v="0"/>
    <x v="9"/>
    <b v="0"/>
    <n v="0"/>
    <x v="0"/>
    <n v="0.26"/>
    <n v="0.2273"/>
    <n v="0.35"/>
    <n v="0.29849999999999999"/>
    <n v="23"/>
    <n v="95"/>
    <x v="52"/>
  </r>
  <r>
    <x v="12"/>
    <x v="0"/>
    <x v="0"/>
    <x v="0"/>
    <x v="3"/>
    <b v="0"/>
    <n v="5"/>
    <x v="0"/>
    <n v="0.14000000000000001"/>
    <n v="0.1515"/>
    <n v="0.69"/>
    <n v="0.1343"/>
    <n v="0"/>
    <n v="117"/>
    <x v="53"/>
  </r>
  <r>
    <x v="19"/>
    <x v="0"/>
    <x v="0"/>
    <x v="0"/>
    <x v="10"/>
    <b v="0"/>
    <n v="0"/>
    <x v="0"/>
    <n v="0.16"/>
    <n v="0.1212"/>
    <n v="0.37"/>
    <n v="0.4627"/>
    <n v="24"/>
    <n v="92"/>
    <x v="54"/>
  </r>
  <r>
    <x v="1"/>
    <x v="0"/>
    <x v="0"/>
    <x v="0"/>
    <x v="6"/>
    <b v="0"/>
    <n v="2"/>
    <x v="1"/>
    <n v="0.32"/>
    <n v="0.34849999999999998"/>
    <n v="0.42"/>
    <n v="0"/>
    <n v="14"/>
    <n v="102"/>
    <x v="54"/>
  </r>
  <r>
    <x v="9"/>
    <x v="0"/>
    <x v="0"/>
    <x v="0"/>
    <x v="3"/>
    <b v="0"/>
    <n v="3"/>
    <x v="0"/>
    <n v="0.22"/>
    <n v="0.19700000000000001"/>
    <n v="0.37"/>
    <n v="0.32840000000000003"/>
    <n v="6"/>
    <n v="109"/>
    <x v="55"/>
  </r>
  <r>
    <x v="18"/>
    <x v="0"/>
    <x v="0"/>
    <x v="0"/>
    <x v="5"/>
    <b v="0"/>
    <n v="0"/>
    <x v="0"/>
    <n v="0.26"/>
    <n v="0.2424"/>
    <n v="0.38"/>
    <n v="0.25369999999999998"/>
    <n v="35"/>
    <n v="78"/>
    <x v="56"/>
  </r>
  <r>
    <x v="5"/>
    <x v="0"/>
    <x v="0"/>
    <x v="0"/>
    <x v="4"/>
    <b v="0"/>
    <n v="2"/>
    <x v="0"/>
    <n v="0.24"/>
    <n v="0.2576"/>
    <n v="0.48"/>
    <n v="0.1045"/>
    <n v="2"/>
    <n v="110"/>
    <x v="57"/>
  </r>
  <r>
    <x v="2"/>
    <x v="0"/>
    <x v="0"/>
    <x v="0"/>
    <x v="4"/>
    <b v="0"/>
    <n v="4"/>
    <x v="0"/>
    <n v="0.22"/>
    <n v="0.2576"/>
    <n v="0.55000000000000004"/>
    <n v="8.9599999999999999E-2"/>
    <n v="3"/>
    <n v="109"/>
    <x v="57"/>
  </r>
  <r>
    <x v="8"/>
    <x v="0"/>
    <x v="0"/>
    <x v="0"/>
    <x v="4"/>
    <b v="0"/>
    <n v="3"/>
    <x v="0"/>
    <n v="0.32"/>
    <n v="0.28789999999999999"/>
    <n v="0.56999999999999995"/>
    <n v="0.41789999999999999"/>
    <n v="4"/>
    <n v="108"/>
    <x v="57"/>
  </r>
  <r>
    <x v="20"/>
    <x v="0"/>
    <x v="0"/>
    <x v="0"/>
    <x v="5"/>
    <b v="0"/>
    <n v="6"/>
    <x v="1"/>
    <n v="0.44"/>
    <n v="0.43940000000000001"/>
    <n v="0.77"/>
    <n v="0.29849999999999999"/>
    <n v="40"/>
    <n v="70"/>
    <x v="58"/>
  </r>
  <r>
    <x v="13"/>
    <x v="0"/>
    <x v="0"/>
    <x v="0"/>
    <x v="4"/>
    <b v="0"/>
    <n v="1"/>
    <x v="0"/>
    <n v="0.2"/>
    <n v="0.2576"/>
    <n v="0.47"/>
    <n v="0"/>
    <n v="8"/>
    <n v="102"/>
    <x v="58"/>
  </r>
  <r>
    <x v="19"/>
    <x v="0"/>
    <x v="0"/>
    <x v="0"/>
    <x v="8"/>
    <b v="0"/>
    <n v="0"/>
    <x v="0"/>
    <n v="0.16"/>
    <n v="0.13639999999999999"/>
    <n v="0.28000000000000003"/>
    <n v="0.35820000000000002"/>
    <n v="17"/>
    <n v="93"/>
    <x v="58"/>
  </r>
  <r>
    <x v="8"/>
    <x v="0"/>
    <x v="0"/>
    <x v="0"/>
    <x v="3"/>
    <b v="0"/>
    <n v="3"/>
    <x v="1"/>
    <n v="0.24"/>
    <n v="0.2576"/>
    <n v="0.93"/>
    <n v="0.1045"/>
    <n v="2"/>
    <n v="107"/>
    <x v="59"/>
  </r>
  <r>
    <x v="1"/>
    <x v="0"/>
    <x v="0"/>
    <x v="0"/>
    <x v="11"/>
    <b v="0"/>
    <n v="2"/>
    <x v="0"/>
    <n v="0.16"/>
    <n v="0.1515"/>
    <n v="0.74"/>
    <n v="0.22389999999999999"/>
    <n v="5"/>
    <n v="103"/>
    <x v="60"/>
  </r>
  <r>
    <x v="20"/>
    <x v="0"/>
    <x v="0"/>
    <x v="0"/>
    <x v="8"/>
    <b v="0"/>
    <n v="6"/>
    <x v="1"/>
    <n v="0.46"/>
    <n v="0.45450000000000002"/>
    <n v="0.72"/>
    <n v="0.28360000000000002"/>
    <n v="35"/>
    <n v="71"/>
    <x v="61"/>
  </r>
  <r>
    <x v="11"/>
    <x v="0"/>
    <x v="0"/>
    <x v="0"/>
    <x v="4"/>
    <b v="0"/>
    <n v="1"/>
    <x v="0"/>
    <n v="0.14000000000000001"/>
    <n v="0.1515"/>
    <n v="0.54"/>
    <n v="0.16420000000000001"/>
    <n v="5"/>
    <n v="101"/>
    <x v="61"/>
  </r>
  <r>
    <x v="1"/>
    <x v="0"/>
    <x v="0"/>
    <x v="0"/>
    <x v="10"/>
    <b v="0"/>
    <n v="2"/>
    <x v="1"/>
    <n v="0.26"/>
    <n v="0.28789999999999999"/>
    <n v="0.56000000000000005"/>
    <n v="8.9599999999999999E-2"/>
    <n v="21"/>
    <n v="85"/>
    <x v="61"/>
  </r>
  <r>
    <x v="18"/>
    <x v="0"/>
    <x v="0"/>
    <x v="0"/>
    <x v="2"/>
    <b v="0"/>
    <n v="0"/>
    <x v="0"/>
    <n v="0.22"/>
    <n v="0.21210000000000001"/>
    <n v="0.37"/>
    <n v="0.25369999999999998"/>
    <n v="23"/>
    <n v="82"/>
    <x v="62"/>
  </r>
  <r>
    <x v="18"/>
    <x v="0"/>
    <x v="0"/>
    <x v="0"/>
    <x v="10"/>
    <b v="0"/>
    <n v="0"/>
    <x v="0"/>
    <n v="0.24"/>
    <n v="0.21210000000000001"/>
    <n v="0.41"/>
    <n v="0.28360000000000002"/>
    <n v="29"/>
    <n v="75"/>
    <x v="63"/>
  </r>
  <r>
    <x v="8"/>
    <x v="0"/>
    <x v="0"/>
    <x v="0"/>
    <x v="6"/>
    <b v="0"/>
    <n v="3"/>
    <x v="0"/>
    <n v="0.38"/>
    <n v="0.39389999999999997"/>
    <n v="0.57999999999999996"/>
    <n v="0.3881"/>
    <n v="10"/>
    <n v="94"/>
    <x v="63"/>
  </r>
  <r>
    <x v="21"/>
    <x v="0"/>
    <x v="0"/>
    <x v="0"/>
    <x v="1"/>
    <b v="0"/>
    <n v="4"/>
    <x v="0"/>
    <n v="0.2"/>
    <n v="0.2273"/>
    <n v="0.69"/>
    <n v="8.9599999999999999E-2"/>
    <n v="3"/>
    <n v="101"/>
    <x v="63"/>
  </r>
  <r>
    <x v="22"/>
    <x v="0"/>
    <x v="0"/>
    <x v="0"/>
    <x v="5"/>
    <b v="0"/>
    <n v="6"/>
    <x v="0"/>
    <n v="0.12"/>
    <n v="0.1515"/>
    <n v="0.28000000000000003"/>
    <n v="0"/>
    <n v="10"/>
    <n v="93"/>
    <x v="64"/>
  </r>
  <r>
    <x v="23"/>
    <x v="0"/>
    <x v="0"/>
    <x v="0"/>
    <x v="9"/>
    <b v="0"/>
    <n v="6"/>
    <x v="0"/>
    <n v="0.2"/>
    <n v="0.18179999999999999"/>
    <n v="0.44"/>
    <n v="0.32840000000000003"/>
    <n v="7"/>
    <n v="95"/>
    <x v="65"/>
  </r>
  <r>
    <x v="11"/>
    <x v="0"/>
    <x v="0"/>
    <x v="0"/>
    <x v="3"/>
    <b v="0"/>
    <n v="1"/>
    <x v="0"/>
    <n v="0.06"/>
    <n v="0.1515"/>
    <n v="0.41"/>
    <n v="0"/>
    <n v="4"/>
    <n v="98"/>
    <x v="65"/>
  </r>
  <r>
    <x v="17"/>
    <x v="0"/>
    <x v="0"/>
    <x v="0"/>
    <x v="9"/>
    <b v="0"/>
    <n v="6"/>
    <x v="0"/>
    <n v="0.28000000000000003"/>
    <n v="0.2576"/>
    <n v="0.38"/>
    <n v="0.29849999999999999"/>
    <n v="21"/>
    <n v="80"/>
    <x v="66"/>
  </r>
  <r>
    <x v="0"/>
    <x v="0"/>
    <x v="0"/>
    <x v="0"/>
    <x v="11"/>
    <b v="0"/>
    <n v="4"/>
    <x v="0"/>
    <n v="0.22"/>
    <n v="0.21210000000000001"/>
    <n v="0.55000000000000004"/>
    <n v="0.22389999999999999"/>
    <n v="1"/>
    <n v="100"/>
    <x v="66"/>
  </r>
  <r>
    <x v="14"/>
    <x v="0"/>
    <x v="0"/>
    <x v="0"/>
    <x v="3"/>
    <b v="0"/>
    <n v="5"/>
    <x v="2"/>
    <n v="0.18"/>
    <n v="0.21210000000000001"/>
    <n v="0.86"/>
    <n v="8.9599999999999999E-2"/>
    <n v="6"/>
    <n v="95"/>
    <x v="66"/>
  </r>
  <r>
    <x v="5"/>
    <x v="0"/>
    <x v="0"/>
    <x v="0"/>
    <x v="3"/>
    <b v="0"/>
    <n v="2"/>
    <x v="0"/>
    <n v="0.16"/>
    <n v="0.1515"/>
    <n v="0.64"/>
    <n v="0.22389999999999999"/>
    <n v="2"/>
    <n v="98"/>
    <x v="67"/>
  </r>
  <r>
    <x v="3"/>
    <x v="0"/>
    <x v="0"/>
    <x v="0"/>
    <x v="11"/>
    <b v="0"/>
    <n v="2"/>
    <x v="1"/>
    <n v="0.16"/>
    <n v="0.2273"/>
    <n v="0.55000000000000004"/>
    <n v="0"/>
    <n v="2"/>
    <n v="97"/>
    <x v="68"/>
  </r>
  <r>
    <x v="7"/>
    <x v="0"/>
    <x v="0"/>
    <x v="0"/>
    <x v="4"/>
    <b v="0"/>
    <n v="4"/>
    <x v="0"/>
    <n v="0.16"/>
    <n v="0.1515"/>
    <n v="0.47"/>
    <n v="0.25369999999999998"/>
    <n v="1"/>
    <n v="98"/>
    <x v="68"/>
  </r>
  <r>
    <x v="18"/>
    <x v="0"/>
    <x v="0"/>
    <x v="0"/>
    <x v="6"/>
    <b v="0"/>
    <n v="0"/>
    <x v="0"/>
    <n v="0.24"/>
    <n v="0.2273"/>
    <n v="0.38"/>
    <n v="0.22389999999999999"/>
    <n v="22"/>
    <n v="77"/>
    <x v="68"/>
  </r>
  <r>
    <x v="16"/>
    <x v="0"/>
    <x v="0"/>
    <x v="0"/>
    <x v="4"/>
    <b v="0"/>
    <n v="2"/>
    <x v="1"/>
    <n v="0.22"/>
    <n v="0.2273"/>
    <n v="0.8"/>
    <n v="0.1343"/>
    <n v="1"/>
    <n v="98"/>
    <x v="68"/>
  </r>
  <r>
    <x v="19"/>
    <x v="0"/>
    <x v="0"/>
    <x v="0"/>
    <x v="12"/>
    <b v="0"/>
    <n v="0"/>
    <x v="0"/>
    <n v="0.14000000000000001"/>
    <n v="0.13639999999999999"/>
    <n v="0.43"/>
    <n v="0.22389999999999999"/>
    <n v="22"/>
    <n v="77"/>
    <x v="68"/>
  </r>
  <r>
    <x v="23"/>
    <x v="0"/>
    <x v="0"/>
    <x v="0"/>
    <x v="10"/>
    <b v="0"/>
    <n v="6"/>
    <x v="1"/>
    <n v="0.2"/>
    <n v="0.18179999999999999"/>
    <n v="0.59"/>
    <n v="0.35820000000000002"/>
    <n v="8"/>
    <n v="90"/>
    <x v="69"/>
  </r>
  <r>
    <x v="0"/>
    <x v="0"/>
    <x v="0"/>
    <x v="0"/>
    <x v="9"/>
    <b v="0"/>
    <n v="4"/>
    <x v="1"/>
    <n v="0.28000000000000003"/>
    <n v="0.28789999999999999"/>
    <n v="0.45"/>
    <n v="0.1045"/>
    <n v="12"/>
    <n v="86"/>
    <x v="69"/>
  </r>
  <r>
    <x v="5"/>
    <x v="0"/>
    <x v="0"/>
    <x v="0"/>
    <x v="9"/>
    <b v="0"/>
    <n v="2"/>
    <x v="0"/>
    <n v="0.24"/>
    <n v="0.2273"/>
    <n v="0.56000000000000005"/>
    <n v="0.19400000000000001"/>
    <n v="18"/>
    <n v="79"/>
    <x v="70"/>
  </r>
  <r>
    <x v="4"/>
    <x v="0"/>
    <x v="0"/>
    <x v="0"/>
    <x v="6"/>
    <b v="0"/>
    <n v="5"/>
    <x v="0"/>
    <n v="0.16"/>
    <n v="0.13639999999999999"/>
    <n v="0.26"/>
    <n v="0.35820000000000002"/>
    <n v="0"/>
    <n v="97"/>
    <x v="70"/>
  </r>
  <r>
    <x v="4"/>
    <x v="0"/>
    <x v="0"/>
    <x v="0"/>
    <x v="4"/>
    <b v="0"/>
    <n v="5"/>
    <x v="0"/>
    <n v="0.12"/>
    <n v="0.1061"/>
    <n v="0.3"/>
    <n v="0.32840000000000003"/>
    <n v="3"/>
    <n v="93"/>
    <x v="71"/>
  </r>
  <r>
    <x v="2"/>
    <x v="0"/>
    <x v="0"/>
    <x v="0"/>
    <x v="11"/>
    <b v="0"/>
    <n v="4"/>
    <x v="1"/>
    <n v="0.16"/>
    <n v="0.2273"/>
    <n v="0.59"/>
    <n v="0"/>
    <n v="0"/>
    <n v="95"/>
    <x v="72"/>
  </r>
  <r>
    <x v="6"/>
    <x v="0"/>
    <x v="0"/>
    <x v="0"/>
    <x v="4"/>
    <b v="0"/>
    <n v="5"/>
    <x v="0"/>
    <n v="0.16"/>
    <n v="0.19700000000000001"/>
    <n v="0.55000000000000004"/>
    <n v="8.9599999999999999E-2"/>
    <n v="3"/>
    <n v="92"/>
    <x v="72"/>
  </r>
  <r>
    <x v="23"/>
    <x v="0"/>
    <x v="0"/>
    <x v="0"/>
    <x v="8"/>
    <b v="0"/>
    <n v="6"/>
    <x v="0"/>
    <n v="0.2"/>
    <n v="0.16669999999999999"/>
    <n v="0.32"/>
    <n v="0.49249999999999999"/>
    <n v="12"/>
    <n v="83"/>
    <x v="72"/>
  </r>
  <r>
    <x v="10"/>
    <x v="0"/>
    <x v="0"/>
    <x v="0"/>
    <x v="4"/>
    <b v="0"/>
    <n v="1"/>
    <x v="0"/>
    <n v="0.16"/>
    <n v="0.16669999999999999"/>
    <n v="0.47"/>
    <n v="0.16420000000000001"/>
    <n v="3"/>
    <n v="92"/>
    <x v="72"/>
  </r>
  <r>
    <x v="3"/>
    <x v="0"/>
    <x v="0"/>
    <x v="0"/>
    <x v="1"/>
    <b v="0"/>
    <n v="2"/>
    <x v="2"/>
    <n v="0.16"/>
    <n v="0.18179999999999999"/>
    <n v="0.93"/>
    <n v="0.1045"/>
    <n v="1"/>
    <n v="94"/>
    <x v="72"/>
  </r>
  <r>
    <x v="20"/>
    <x v="0"/>
    <x v="0"/>
    <x v="0"/>
    <x v="9"/>
    <b v="0"/>
    <n v="6"/>
    <x v="1"/>
    <n v="0.46"/>
    <n v="0.45450000000000002"/>
    <n v="0.72"/>
    <n v="0.29849999999999999"/>
    <n v="47"/>
    <n v="47"/>
    <x v="73"/>
  </r>
  <r>
    <x v="5"/>
    <x v="0"/>
    <x v="0"/>
    <x v="0"/>
    <x v="11"/>
    <b v="0"/>
    <n v="2"/>
    <x v="0"/>
    <n v="0.12"/>
    <n v="0.1515"/>
    <n v="0.74"/>
    <n v="0.1343"/>
    <n v="2"/>
    <n v="92"/>
    <x v="73"/>
  </r>
  <r>
    <x v="10"/>
    <x v="0"/>
    <x v="0"/>
    <x v="0"/>
    <x v="3"/>
    <b v="0"/>
    <n v="1"/>
    <x v="1"/>
    <n v="0.14000000000000001"/>
    <n v="0.1212"/>
    <n v="0.5"/>
    <n v="0.25369999999999998"/>
    <n v="2"/>
    <n v="92"/>
    <x v="73"/>
  </r>
  <r>
    <x v="20"/>
    <x v="0"/>
    <x v="0"/>
    <x v="0"/>
    <x v="6"/>
    <b v="0"/>
    <n v="6"/>
    <x v="1"/>
    <n v="0.42"/>
    <n v="0.42420000000000002"/>
    <n v="0.82"/>
    <n v="0.29849999999999999"/>
    <n v="41"/>
    <n v="52"/>
    <x v="74"/>
  </r>
  <r>
    <x v="24"/>
    <x v="0"/>
    <x v="0"/>
    <x v="0"/>
    <x v="10"/>
    <b v="0"/>
    <n v="0"/>
    <x v="1"/>
    <n v="0.36"/>
    <n v="0.33329999999999999"/>
    <n v="0.66"/>
    <n v="0.29849999999999999"/>
    <n v="20"/>
    <n v="73"/>
    <x v="74"/>
  </r>
  <r>
    <x v="18"/>
    <x v="0"/>
    <x v="0"/>
    <x v="0"/>
    <x v="12"/>
    <b v="0"/>
    <n v="0"/>
    <x v="0"/>
    <n v="0.24"/>
    <n v="0.2273"/>
    <n v="0.44"/>
    <n v="0.25369999999999998"/>
    <n v="23"/>
    <n v="70"/>
    <x v="74"/>
  </r>
  <r>
    <x v="25"/>
    <x v="0"/>
    <x v="0"/>
    <x v="0"/>
    <x v="9"/>
    <b v="1"/>
    <n v="1"/>
    <x v="1"/>
    <n v="0.18"/>
    <n v="0.19700000000000001"/>
    <n v="0.47"/>
    <n v="0.1343"/>
    <n v="13"/>
    <n v="80"/>
    <x v="74"/>
  </r>
  <r>
    <x v="25"/>
    <x v="0"/>
    <x v="0"/>
    <x v="0"/>
    <x v="5"/>
    <b v="1"/>
    <n v="1"/>
    <x v="1"/>
    <n v="0.2"/>
    <n v="0.21210000000000001"/>
    <n v="0.47"/>
    <n v="0.16420000000000001"/>
    <n v="21"/>
    <n v="72"/>
    <x v="74"/>
  </r>
  <r>
    <x v="1"/>
    <x v="0"/>
    <x v="0"/>
    <x v="0"/>
    <x v="9"/>
    <b v="0"/>
    <n v="2"/>
    <x v="1"/>
    <n v="0.26"/>
    <n v="0.2727"/>
    <n v="0.56000000000000005"/>
    <n v="0.1343"/>
    <n v="21"/>
    <n v="72"/>
    <x v="74"/>
  </r>
  <r>
    <x v="26"/>
    <x v="0"/>
    <x v="0"/>
    <x v="0"/>
    <x v="6"/>
    <b v="0"/>
    <n v="0"/>
    <x v="0"/>
    <n v="0.2"/>
    <n v="0.16669999999999999"/>
    <n v="0.34"/>
    <n v="0.44779999999999998"/>
    <n v="13"/>
    <n v="79"/>
    <x v="75"/>
  </r>
  <r>
    <x v="12"/>
    <x v="0"/>
    <x v="0"/>
    <x v="0"/>
    <x v="4"/>
    <b v="0"/>
    <n v="5"/>
    <x v="0"/>
    <n v="0.16"/>
    <n v="0.19700000000000001"/>
    <n v="0.59"/>
    <n v="8.9599999999999999E-2"/>
    <n v="3"/>
    <n v="89"/>
    <x v="75"/>
  </r>
  <r>
    <x v="25"/>
    <x v="0"/>
    <x v="0"/>
    <x v="0"/>
    <x v="1"/>
    <b v="1"/>
    <n v="1"/>
    <x v="1"/>
    <n v="0.18"/>
    <n v="0.16669999999999999"/>
    <n v="0.55000000000000004"/>
    <n v="0.25369999999999998"/>
    <n v="7"/>
    <n v="85"/>
    <x v="75"/>
  </r>
  <r>
    <x v="18"/>
    <x v="0"/>
    <x v="0"/>
    <x v="0"/>
    <x v="8"/>
    <b v="0"/>
    <n v="0"/>
    <x v="0"/>
    <n v="0.28000000000000003"/>
    <n v="0.2727"/>
    <n v="0.36"/>
    <n v="0.25369999999999998"/>
    <n v="22"/>
    <n v="69"/>
    <x v="76"/>
  </r>
  <r>
    <x v="0"/>
    <x v="0"/>
    <x v="0"/>
    <x v="0"/>
    <x v="6"/>
    <b v="0"/>
    <n v="4"/>
    <x v="1"/>
    <n v="0.3"/>
    <n v="0.30299999999999999"/>
    <n v="0.49"/>
    <n v="0.1343"/>
    <n v="8"/>
    <n v="83"/>
    <x v="76"/>
  </r>
  <r>
    <x v="12"/>
    <x v="0"/>
    <x v="0"/>
    <x v="0"/>
    <x v="6"/>
    <b v="0"/>
    <n v="5"/>
    <x v="0"/>
    <n v="0.22"/>
    <n v="0.2424"/>
    <n v="0.41"/>
    <n v="0.1045"/>
    <n v="3"/>
    <n v="87"/>
    <x v="77"/>
  </r>
  <r>
    <x v="8"/>
    <x v="0"/>
    <x v="0"/>
    <x v="0"/>
    <x v="11"/>
    <b v="0"/>
    <n v="3"/>
    <x v="1"/>
    <n v="0.24"/>
    <n v="0.2576"/>
    <n v="0.92"/>
    <n v="0.1045"/>
    <n v="1"/>
    <n v="89"/>
    <x v="77"/>
  </r>
  <r>
    <x v="9"/>
    <x v="0"/>
    <x v="0"/>
    <x v="0"/>
    <x v="6"/>
    <b v="0"/>
    <n v="3"/>
    <x v="0"/>
    <n v="0.3"/>
    <n v="0.31819999999999998"/>
    <n v="0.28000000000000003"/>
    <n v="8.9599999999999999E-2"/>
    <n v="4"/>
    <n v="85"/>
    <x v="78"/>
  </r>
  <r>
    <x v="9"/>
    <x v="0"/>
    <x v="0"/>
    <x v="0"/>
    <x v="7"/>
    <b v="0"/>
    <n v="3"/>
    <x v="0"/>
    <n v="0.22"/>
    <n v="0.2273"/>
    <n v="0.47"/>
    <n v="0.16420000000000001"/>
    <n v="7"/>
    <n v="82"/>
    <x v="78"/>
  </r>
  <r>
    <x v="17"/>
    <x v="0"/>
    <x v="0"/>
    <x v="0"/>
    <x v="10"/>
    <b v="0"/>
    <n v="6"/>
    <x v="0"/>
    <n v="0.24"/>
    <n v="0.2273"/>
    <n v="0.48"/>
    <n v="0.22389999999999999"/>
    <n v="15"/>
    <n v="74"/>
    <x v="78"/>
  </r>
  <r>
    <x v="13"/>
    <x v="0"/>
    <x v="0"/>
    <x v="0"/>
    <x v="3"/>
    <b v="0"/>
    <n v="1"/>
    <x v="0"/>
    <n v="0.16"/>
    <n v="0.13639999999999999"/>
    <n v="0.43"/>
    <n v="0.3881"/>
    <n v="7"/>
    <n v="81"/>
    <x v="79"/>
  </r>
  <r>
    <x v="9"/>
    <x v="0"/>
    <x v="0"/>
    <x v="0"/>
    <x v="11"/>
    <b v="0"/>
    <n v="3"/>
    <x v="0"/>
    <n v="0.18"/>
    <n v="0.18179999999999999"/>
    <n v="0.43"/>
    <n v="0.19400000000000001"/>
    <n v="1"/>
    <n v="87"/>
    <x v="79"/>
  </r>
  <r>
    <x v="6"/>
    <x v="0"/>
    <x v="0"/>
    <x v="0"/>
    <x v="6"/>
    <b v="0"/>
    <n v="5"/>
    <x v="1"/>
    <n v="0.2"/>
    <n v="0.21210000000000001"/>
    <n v="0.37"/>
    <n v="0.16420000000000001"/>
    <n v="5"/>
    <n v="82"/>
    <x v="80"/>
  </r>
  <r>
    <x v="19"/>
    <x v="0"/>
    <x v="0"/>
    <x v="0"/>
    <x v="9"/>
    <b v="0"/>
    <n v="0"/>
    <x v="0"/>
    <n v="0.14000000000000001"/>
    <n v="0.1061"/>
    <n v="0.33"/>
    <n v="0.3881"/>
    <n v="12"/>
    <n v="75"/>
    <x v="80"/>
  </r>
  <r>
    <x v="2"/>
    <x v="0"/>
    <x v="0"/>
    <x v="0"/>
    <x v="6"/>
    <b v="0"/>
    <n v="4"/>
    <x v="0"/>
    <n v="0.26"/>
    <n v="0.2576"/>
    <n v="0.38"/>
    <n v="0.16420000000000001"/>
    <n v="12"/>
    <n v="74"/>
    <x v="81"/>
  </r>
  <r>
    <x v="25"/>
    <x v="0"/>
    <x v="0"/>
    <x v="0"/>
    <x v="8"/>
    <b v="1"/>
    <n v="1"/>
    <x v="1"/>
    <n v="0.18"/>
    <n v="0.21210000000000001"/>
    <n v="0.43"/>
    <n v="0.1045"/>
    <n v="12"/>
    <n v="74"/>
    <x v="81"/>
  </r>
  <r>
    <x v="20"/>
    <x v="0"/>
    <x v="0"/>
    <x v="0"/>
    <x v="10"/>
    <b v="0"/>
    <n v="6"/>
    <x v="0"/>
    <n v="0.42"/>
    <n v="0.42420000000000002"/>
    <n v="0.77"/>
    <n v="0.28360000000000002"/>
    <n v="29"/>
    <n v="55"/>
    <x v="82"/>
  </r>
  <r>
    <x v="2"/>
    <x v="0"/>
    <x v="0"/>
    <x v="0"/>
    <x v="10"/>
    <b v="0"/>
    <n v="4"/>
    <x v="0"/>
    <n v="0.26"/>
    <n v="0.28789999999999999"/>
    <n v="0.35"/>
    <n v="0"/>
    <n v="6"/>
    <n v="78"/>
    <x v="82"/>
  </r>
  <r>
    <x v="6"/>
    <x v="0"/>
    <x v="0"/>
    <x v="0"/>
    <x v="11"/>
    <b v="0"/>
    <n v="5"/>
    <x v="0"/>
    <n v="0.2"/>
    <n v="0.21210000000000001"/>
    <n v="0.69"/>
    <n v="0.1343"/>
    <n v="8"/>
    <n v="76"/>
    <x v="82"/>
  </r>
  <r>
    <x v="17"/>
    <x v="0"/>
    <x v="0"/>
    <x v="0"/>
    <x v="1"/>
    <b v="0"/>
    <n v="6"/>
    <x v="1"/>
    <n v="0.3"/>
    <n v="0.28789999999999999"/>
    <n v="0.45"/>
    <n v="0.25369999999999998"/>
    <n v="15"/>
    <n v="69"/>
    <x v="82"/>
  </r>
  <r>
    <x v="0"/>
    <x v="0"/>
    <x v="0"/>
    <x v="0"/>
    <x v="10"/>
    <b v="0"/>
    <n v="4"/>
    <x v="1"/>
    <n v="0.3"/>
    <n v="0.33329999999999999"/>
    <n v="0.42"/>
    <n v="0"/>
    <n v="7"/>
    <n v="77"/>
    <x v="82"/>
  </r>
  <r>
    <x v="22"/>
    <x v="0"/>
    <x v="0"/>
    <x v="0"/>
    <x v="9"/>
    <b v="0"/>
    <n v="6"/>
    <x v="0"/>
    <n v="0.08"/>
    <n v="0.16669999999999999"/>
    <n v="0.35"/>
    <n v="0"/>
    <n v="12"/>
    <n v="72"/>
    <x v="82"/>
  </r>
  <r>
    <x v="11"/>
    <x v="0"/>
    <x v="0"/>
    <x v="0"/>
    <x v="11"/>
    <b v="0"/>
    <n v="1"/>
    <x v="0"/>
    <n v="0.02"/>
    <n v="0.1212"/>
    <n v="0.48"/>
    <n v="0"/>
    <n v="5"/>
    <n v="79"/>
    <x v="82"/>
  </r>
  <r>
    <x v="1"/>
    <x v="0"/>
    <x v="0"/>
    <x v="0"/>
    <x v="5"/>
    <b v="0"/>
    <n v="2"/>
    <x v="1"/>
    <n v="0.32"/>
    <n v="0.34849999999999998"/>
    <n v="0.42"/>
    <n v="0"/>
    <n v="21"/>
    <n v="63"/>
    <x v="82"/>
  </r>
  <r>
    <x v="21"/>
    <x v="0"/>
    <x v="0"/>
    <x v="0"/>
    <x v="2"/>
    <b v="0"/>
    <n v="4"/>
    <x v="0"/>
    <n v="0.22"/>
    <n v="0.2424"/>
    <n v="0.55000000000000004"/>
    <n v="0.1045"/>
    <n v="2"/>
    <n v="82"/>
    <x v="82"/>
  </r>
  <r>
    <x v="5"/>
    <x v="0"/>
    <x v="0"/>
    <x v="0"/>
    <x v="6"/>
    <b v="0"/>
    <n v="2"/>
    <x v="0"/>
    <n v="0.3"/>
    <n v="0.28789999999999999"/>
    <n v="0.49"/>
    <n v="0.25369999999999998"/>
    <n v="15"/>
    <n v="68"/>
    <x v="83"/>
  </r>
  <r>
    <x v="26"/>
    <x v="0"/>
    <x v="0"/>
    <x v="0"/>
    <x v="10"/>
    <b v="0"/>
    <n v="0"/>
    <x v="0"/>
    <n v="0.18"/>
    <n v="0.13639999999999999"/>
    <n v="0.37"/>
    <n v="0.44779999999999998"/>
    <n v="4"/>
    <n v="79"/>
    <x v="83"/>
  </r>
  <r>
    <x v="15"/>
    <x v="0"/>
    <x v="0"/>
    <x v="0"/>
    <x v="4"/>
    <b v="0"/>
    <n v="3"/>
    <x v="0"/>
    <n v="0.18"/>
    <n v="0.1515"/>
    <n v="0.47"/>
    <n v="0.41789999999999999"/>
    <n v="1"/>
    <n v="82"/>
    <x v="83"/>
  </r>
  <r>
    <x v="7"/>
    <x v="0"/>
    <x v="0"/>
    <x v="0"/>
    <x v="9"/>
    <b v="0"/>
    <n v="4"/>
    <x v="0"/>
    <n v="0.22"/>
    <n v="0.19700000000000001"/>
    <n v="0.41"/>
    <n v="0.44779999999999998"/>
    <n v="2"/>
    <n v="81"/>
    <x v="83"/>
  </r>
  <r>
    <x v="17"/>
    <x v="0"/>
    <x v="0"/>
    <x v="0"/>
    <x v="2"/>
    <b v="0"/>
    <n v="6"/>
    <x v="1"/>
    <n v="0.32"/>
    <n v="0.30299999999999999"/>
    <n v="0.36"/>
    <n v="0.28360000000000002"/>
    <n v="29"/>
    <n v="54"/>
    <x v="83"/>
  </r>
  <r>
    <x v="16"/>
    <x v="0"/>
    <x v="0"/>
    <x v="0"/>
    <x v="7"/>
    <b v="0"/>
    <n v="2"/>
    <x v="1"/>
    <n v="0.22"/>
    <n v="0.2727"/>
    <n v="0.87"/>
    <n v="0"/>
    <n v="0"/>
    <n v="83"/>
    <x v="83"/>
  </r>
  <r>
    <x v="22"/>
    <x v="0"/>
    <x v="0"/>
    <x v="0"/>
    <x v="6"/>
    <b v="0"/>
    <n v="6"/>
    <x v="0"/>
    <n v="0.12"/>
    <n v="0.13639999999999999"/>
    <n v="0.28000000000000003"/>
    <n v="0.19400000000000001"/>
    <n v="11"/>
    <n v="72"/>
    <x v="83"/>
  </r>
  <r>
    <x v="26"/>
    <x v="0"/>
    <x v="0"/>
    <x v="0"/>
    <x v="5"/>
    <b v="0"/>
    <n v="0"/>
    <x v="0"/>
    <n v="0.22"/>
    <n v="0.19700000000000001"/>
    <n v="0.35"/>
    <n v="0.35820000000000002"/>
    <n v="5"/>
    <n v="77"/>
    <x v="84"/>
  </r>
  <r>
    <x v="25"/>
    <x v="0"/>
    <x v="0"/>
    <x v="0"/>
    <x v="6"/>
    <b v="1"/>
    <n v="1"/>
    <x v="1"/>
    <n v="0.2"/>
    <n v="0.21210000000000001"/>
    <n v="0.47"/>
    <n v="0.16420000000000001"/>
    <n v="6"/>
    <n v="76"/>
    <x v="84"/>
  </r>
  <r>
    <x v="8"/>
    <x v="0"/>
    <x v="0"/>
    <x v="0"/>
    <x v="5"/>
    <b v="0"/>
    <n v="3"/>
    <x v="0"/>
    <n v="0.4"/>
    <n v="0.40910000000000002"/>
    <n v="0.54"/>
    <n v="0.28360000000000002"/>
    <n v="4"/>
    <n v="78"/>
    <x v="84"/>
  </r>
  <r>
    <x v="15"/>
    <x v="0"/>
    <x v="0"/>
    <x v="0"/>
    <x v="3"/>
    <b v="0"/>
    <n v="3"/>
    <x v="0"/>
    <n v="0.16"/>
    <n v="0.13639999999999999"/>
    <n v="0.59"/>
    <n v="0.32840000000000003"/>
    <n v="3"/>
    <n v="78"/>
    <x v="85"/>
  </r>
  <r>
    <x v="0"/>
    <x v="0"/>
    <x v="0"/>
    <x v="0"/>
    <x v="8"/>
    <b v="0"/>
    <n v="4"/>
    <x v="1"/>
    <n v="0.3"/>
    <n v="0.30299999999999999"/>
    <n v="0.45"/>
    <n v="0.1343"/>
    <n v="6"/>
    <n v="75"/>
    <x v="85"/>
  </r>
  <r>
    <x v="11"/>
    <x v="0"/>
    <x v="0"/>
    <x v="0"/>
    <x v="7"/>
    <b v="0"/>
    <n v="1"/>
    <x v="0"/>
    <n v="0.14000000000000001"/>
    <n v="0.13639999999999999"/>
    <n v="0.59"/>
    <n v="0.19400000000000001"/>
    <n v="1"/>
    <n v="80"/>
    <x v="85"/>
  </r>
  <r>
    <x v="25"/>
    <x v="0"/>
    <x v="0"/>
    <x v="0"/>
    <x v="10"/>
    <b v="1"/>
    <n v="1"/>
    <x v="1"/>
    <n v="0.18"/>
    <n v="0.19700000000000001"/>
    <n v="0.47"/>
    <n v="0.1343"/>
    <n v="10"/>
    <n v="70"/>
    <x v="86"/>
  </r>
  <r>
    <x v="9"/>
    <x v="0"/>
    <x v="0"/>
    <x v="0"/>
    <x v="10"/>
    <b v="0"/>
    <n v="3"/>
    <x v="0"/>
    <n v="0.26"/>
    <n v="0.2273"/>
    <n v="0.33"/>
    <n v="0.32840000000000003"/>
    <n v="5"/>
    <n v="74"/>
    <x v="87"/>
  </r>
  <r>
    <x v="18"/>
    <x v="0"/>
    <x v="0"/>
    <x v="0"/>
    <x v="13"/>
    <b v="0"/>
    <n v="0"/>
    <x v="0"/>
    <n v="0.22"/>
    <n v="0.21210000000000001"/>
    <n v="0.51"/>
    <n v="0.28360000000000002"/>
    <n v="8"/>
    <n v="71"/>
    <x v="87"/>
  </r>
  <r>
    <x v="21"/>
    <x v="0"/>
    <x v="0"/>
    <x v="0"/>
    <x v="4"/>
    <b v="0"/>
    <n v="4"/>
    <x v="0"/>
    <n v="0.2"/>
    <n v="0.2273"/>
    <n v="0.69"/>
    <n v="8.9599999999999999E-2"/>
    <n v="3"/>
    <n v="76"/>
    <x v="87"/>
  </r>
  <r>
    <x v="5"/>
    <x v="0"/>
    <x v="0"/>
    <x v="0"/>
    <x v="10"/>
    <b v="0"/>
    <n v="2"/>
    <x v="0"/>
    <n v="0.22"/>
    <n v="0.2273"/>
    <n v="0.51"/>
    <n v="0.16420000000000001"/>
    <n v="12"/>
    <n v="66"/>
    <x v="88"/>
  </r>
  <r>
    <x v="7"/>
    <x v="0"/>
    <x v="0"/>
    <x v="0"/>
    <x v="6"/>
    <b v="0"/>
    <n v="4"/>
    <x v="0"/>
    <n v="0.24"/>
    <n v="0.21210000000000001"/>
    <n v="0.38"/>
    <n v="0.35820000000000002"/>
    <n v="2"/>
    <n v="76"/>
    <x v="88"/>
  </r>
  <r>
    <x v="8"/>
    <x v="0"/>
    <x v="0"/>
    <x v="0"/>
    <x v="9"/>
    <b v="0"/>
    <n v="3"/>
    <x v="0"/>
    <n v="0.4"/>
    <n v="0.40910000000000002"/>
    <n v="0.62"/>
    <n v="0.28360000000000002"/>
    <n v="11"/>
    <n v="67"/>
    <x v="88"/>
  </r>
  <r>
    <x v="4"/>
    <x v="0"/>
    <x v="0"/>
    <x v="0"/>
    <x v="10"/>
    <b v="0"/>
    <n v="5"/>
    <x v="0"/>
    <n v="0.22"/>
    <n v="0.18179999999999999"/>
    <n v="0.27"/>
    <n v="0.58209999999999995"/>
    <n v="11"/>
    <n v="67"/>
    <x v="88"/>
  </r>
  <r>
    <x v="13"/>
    <x v="0"/>
    <x v="0"/>
    <x v="0"/>
    <x v="8"/>
    <b v="0"/>
    <n v="1"/>
    <x v="0"/>
    <n v="0.26"/>
    <n v="0.2424"/>
    <n v="0.3"/>
    <n v="0.28360000000000002"/>
    <n v="11"/>
    <n v="66"/>
    <x v="89"/>
  </r>
  <r>
    <x v="10"/>
    <x v="0"/>
    <x v="0"/>
    <x v="0"/>
    <x v="11"/>
    <b v="0"/>
    <n v="1"/>
    <x v="0"/>
    <n v="0.12"/>
    <n v="0.1212"/>
    <n v="0.5"/>
    <n v="0.22389999999999999"/>
    <n v="2"/>
    <n v="75"/>
    <x v="89"/>
  </r>
  <r>
    <x v="12"/>
    <x v="0"/>
    <x v="0"/>
    <x v="0"/>
    <x v="9"/>
    <b v="0"/>
    <n v="5"/>
    <x v="0"/>
    <n v="0.22"/>
    <n v="0.19700000000000001"/>
    <n v="0.37"/>
    <n v="0.3881"/>
    <n v="4"/>
    <n v="73"/>
    <x v="89"/>
  </r>
  <r>
    <x v="19"/>
    <x v="0"/>
    <x v="0"/>
    <x v="0"/>
    <x v="5"/>
    <b v="0"/>
    <n v="0"/>
    <x v="0"/>
    <n v="0.16"/>
    <n v="0.13639999999999999"/>
    <n v="0.28000000000000003"/>
    <n v="0.35820000000000002"/>
    <n v="13"/>
    <n v="64"/>
    <x v="89"/>
  </r>
  <r>
    <x v="24"/>
    <x v="0"/>
    <x v="0"/>
    <x v="0"/>
    <x v="6"/>
    <b v="0"/>
    <n v="0"/>
    <x v="2"/>
    <n v="0.34"/>
    <n v="0.33329999999999999"/>
    <n v="0.71"/>
    <n v="0.16420000000000001"/>
    <n v="9"/>
    <n v="67"/>
    <x v="90"/>
  </r>
  <r>
    <x v="13"/>
    <x v="0"/>
    <x v="0"/>
    <x v="0"/>
    <x v="6"/>
    <b v="0"/>
    <n v="1"/>
    <x v="0"/>
    <n v="0.26"/>
    <n v="0.2424"/>
    <n v="0.3"/>
    <n v="0.25369999999999998"/>
    <n v="9"/>
    <n v="67"/>
    <x v="90"/>
  </r>
  <r>
    <x v="23"/>
    <x v="0"/>
    <x v="0"/>
    <x v="0"/>
    <x v="6"/>
    <b v="0"/>
    <n v="6"/>
    <x v="0"/>
    <n v="0.18"/>
    <n v="0.13639999999999999"/>
    <n v="0.28999999999999998"/>
    <n v="0.44779999999999998"/>
    <n v="8"/>
    <n v="68"/>
    <x v="90"/>
  </r>
  <r>
    <x v="3"/>
    <x v="0"/>
    <x v="0"/>
    <x v="0"/>
    <x v="6"/>
    <b v="0"/>
    <n v="2"/>
    <x v="1"/>
    <n v="0.16"/>
    <n v="0.1515"/>
    <n v="0.86"/>
    <n v="0.22389999999999999"/>
    <n v="4"/>
    <n v="72"/>
    <x v="90"/>
  </r>
  <r>
    <x v="8"/>
    <x v="0"/>
    <x v="0"/>
    <x v="0"/>
    <x v="7"/>
    <b v="0"/>
    <n v="3"/>
    <x v="0"/>
    <n v="0.32"/>
    <n v="0.30299999999999999"/>
    <n v="0.49"/>
    <n v="0.29849999999999999"/>
    <n v="2"/>
    <n v="74"/>
    <x v="90"/>
  </r>
  <r>
    <x v="24"/>
    <x v="0"/>
    <x v="0"/>
    <x v="0"/>
    <x v="9"/>
    <b v="0"/>
    <n v="0"/>
    <x v="1"/>
    <n v="0.36"/>
    <n v="0.34849999999999998"/>
    <n v="0.66"/>
    <n v="0.1343"/>
    <n v="11"/>
    <n v="64"/>
    <x v="91"/>
  </r>
  <r>
    <x v="26"/>
    <x v="0"/>
    <x v="0"/>
    <x v="0"/>
    <x v="9"/>
    <b v="0"/>
    <n v="0"/>
    <x v="0"/>
    <n v="0.2"/>
    <n v="0.16669999999999999"/>
    <n v="0.34"/>
    <n v="0.44779999999999998"/>
    <n v="6"/>
    <n v="69"/>
    <x v="91"/>
  </r>
  <r>
    <x v="8"/>
    <x v="0"/>
    <x v="0"/>
    <x v="0"/>
    <x v="8"/>
    <b v="0"/>
    <n v="3"/>
    <x v="0"/>
    <n v="0.4"/>
    <n v="0.40910000000000002"/>
    <n v="0.57999999999999996"/>
    <n v="0.25369999999999998"/>
    <n v="7"/>
    <n v="68"/>
    <x v="91"/>
  </r>
  <r>
    <x v="22"/>
    <x v="0"/>
    <x v="0"/>
    <x v="0"/>
    <x v="8"/>
    <b v="0"/>
    <n v="6"/>
    <x v="0"/>
    <n v="0.1"/>
    <n v="0.13639999999999999"/>
    <n v="0.33"/>
    <n v="0.1045"/>
    <n v="11"/>
    <n v="64"/>
    <x v="91"/>
  </r>
  <r>
    <x v="24"/>
    <x v="0"/>
    <x v="0"/>
    <x v="0"/>
    <x v="5"/>
    <b v="0"/>
    <n v="0"/>
    <x v="2"/>
    <n v="0.34"/>
    <n v="0.33329999999999999"/>
    <n v="0.81"/>
    <n v="0.16420000000000001"/>
    <n v="19"/>
    <n v="55"/>
    <x v="92"/>
  </r>
  <r>
    <x v="23"/>
    <x v="0"/>
    <x v="0"/>
    <x v="0"/>
    <x v="5"/>
    <b v="0"/>
    <n v="6"/>
    <x v="0"/>
    <n v="0.2"/>
    <n v="0.16669999999999999"/>
    <n v="0.32"/>
    <n v="0.44779999999999998"/>
    <n v="5"/>
    <n v="69"/>
    <x v="92"/>
  </r>
  <r>
    <x v="10"/>
    <x v="0"/>
    <x v="0"/>
    <x v="0"/>
    <x v="6"/>
    <b v="0"/>
    <n v="1"/>
    <x v="0"/>
    <n v="0.2"/>
    <n v="0.21210000000000001"/>
    <n v="0.4"/>
    <n v="0.1343"/>
    <n v="4"/>
    <n v="70"/>
    <x v="92"/>
  </r>
  <r>
    <x v="10"/>
    <x v="0"/>
    <x v="0"/>
    <x v="0"/>
    <x v="7"/>
    <b v="0"/>
    <n v="1"/>
    <x v="0"/>
    <n v="0.16"/>
    <n v="0.16669999999999999"/>
    <n v="0.5"/>
    <n v="0.16420000000000001"/>
    <n v="1"/>
    <n v="73"/>
    <x v="92"/>
  </r>
  <r>
    <x v="17"/>
    <x v="0"/>
    <x v="0"/>
    <x v="0"/>
    <x v="4"/>
    <b v="0"/>
    <n v="6"/>
    <x v="1"/>
    <n v="0.32"/>
    <n v="0.30299999999999999"/>
    <n v="0.39"/>
    <n v="0.25369999999999998"/>
    <n v="14"/>
    <n v="60"/>
    <x v="92"/>
  </r>
  <r>
    <x v="6"/>
    <x v="0"/>
    <x v="0"/>
    <x v="0"/>
    <x v="9"/>
    <b v="0"/>
    <n v="5"/>
    <x v="1"/>
    <n v="0.2"/>
    <n v="0.18179999999999999"/>
    <n v="0.37"/>
    <n v="0.28360000000000002"/>
    <n v="9"/>
    <n v="64"/>
    <x v="93"/>
  </r>
  <r>
    <x v="4"/>
    <x v="0"/>
    <x v="0"/>
    <x v="0"/>
    <x v="9"/>
    <b v="0"/>
    <n v="5"/>
    <x v="0"/>
    <n v="0.2"/>
    <n v="0.1515"/>
    <n v="0.21"/>
    <n v="0.58209999999999995"/>
    <n v="8"/>
    <n v="65"/>
    <x v="93"/>
  </r>
  <r>
    <x v="13"/>
    <x v="0"/>
    <x v="0"/>
    <x v="0"/>
    <x v="5"/>
    <b v="0"/>
    <n v="1"/>
    <x v="0"/>
    <n v="0.26"/>
    <n v="0.2424"/>
    <n v="0.3"/>
    <n v="0.25369999999999998"/>
    <n v="14"/>
    <n v="58"/>
    <x v="94"/>
  </r>
  <r>
    <x v="6"/>
    <x v="0"/>
    <x v="0"/>
    <x v="0"/>
    <x v="5"/>
    <b v="0"/>
    <n v="5"/>
    <x v="1"/>
    <n v="0.2"/>
    <n v="0.21210000000000001"/>
    <n v="0.37"/>
    <n v="0.16420000000000001"/>
    <n v="9"/>
    <n v="63"/>
    <x v="94"/>
  </r>
  <r>
    <x v="26"/>
    <x v="0"/>
    <x v="0"/>
    <x v="0"/>
    <x v="8"/>
    <b v="0"/>
    <n v="0"/>
    <x v="0"/>
    <n v="0.22"/>
    <n v="0.18179999999999999"/>
    <n v="0.32"/>
    <n v="0.4627"/>
    <n v="8"/>
    <n v="64"/>
    <x v="94"/>
  </r>
  <r>
    <x v="7"/>
    <x v="0"/>
    <x v="0"/>
    <x v="0"/>
    <x v="11"/>
    <b v="0"/>
    <n v="4"/>
    <x v="0"/>
    <n v="0.12"/>
    <n v="0.1515"/>
    <n v="0.54"/>
    <n v="0.1343"/>
    <n v="0"/>
    <n v="72"/>
    <x v="94"/>
  </r>
  <r>
    <x v="17"/>
    <x v="0"/>
    <x v="0"/>
    <x v="0"/>
    <x v="12"/>
    <b v="0"/>
    <n v="6"/>
    <x v="0"/>
    <n v="0.2"/>
    <n v="0.19700000000000001"/>
    <n v="0.55000000000000004"/>
    <n v="0.22389999999999999"/>
    <n v="18"/>
    <n v="54"/>
    <x v="94"/>
  </r>
  <r>
    <x v="27"/>
    <x v="0"/>
    <x v="0"/>
    <x v="0"/>
    <x v="0"/>
    <b v="0"/>
    <n v="3"/>
    <x v="2"/>
    <n v="0.22"/>
    <n v="0.21210000000000001"/>
    <n v="0.87"/>
    <n v="0.29849999999999999"/>
    <n v="3"/>
    <n v="69"/>
    <x v="94"/>
  </r>
  <r>
    <x v="9"/>
    <x v="0"/>
    <x v="0"/>
    <x v="0"/>
    <x v="9"/>
    <b v="0"/>
    <n v="3"/>
    <x v="0"/>
    <n v="0.28000000000000003"/>
    <n v="0.2576"/>
    <n v="0.3"/>
    <n v="0.29849999999999999"/>
    <n v="6"/>
    <n v="65"/>
    <x v="95"/>
  </r>
  <r>
    <x v="25"/>
    <x v="0"/>
    <x v="0"/>
    <x v="0"/>
    <x v="2"/>
    <b v="1"/>
    <n v="1"/>
    <x v="0"/>
    <n v="0.2"/>
    <n v="0.19700000000000001"/>
    <n v="0.51"/>
    <n v="0.19400000000000001"/>
    <n v="4"/>
    <n v="67"/>
    <x v="95"/>
  </r>
  <r>
    <x v="24"/>
    <x v="0"/>
    <x v="0"/>
    <x v="0"/>
    <x v="12"/>
    <b v="0"/>
    <n v="0"/>
    <x v="1"/>
    <n v="0.36"/>
    <n v="0.33329999999999999"/>
    <n v="0.71"/>
    <n v="0.25369999999999998"/>
    <n v="16"/>
    <n v="54"/>
    <x v="96"/>
  </r>
  <r>
    <x v="2"/>
    <x v="0"/>
    <x v="0"/>
    <x v="0"/>
    <x v="8"/>
    <b v="0"/>
    <n v="4"/>
    <x v="0"/>
    <n v="0.28000000000000003"/>
    <n v="0.2727"/>
    <n v="0.36"/>
    <n v="0.16420000000000001"/>
    <n v="11"/>
    <n v="59"/>
    <x v="96"/>
  </r>
  <r>
    <x v="12"/>
    <x v="0"/>
    <x v="0"/>
    <x v="0"/>
    <x v="11"/>
    <b v="0"/>
    <n v="5"/>
    <x v="0"/>
    <n v="0.1"/>
    <n v="0.1212"/>
    <n v="0.74"/>
    <n v="0.16420000000000001"/>
    <n v="0"/>
    <n v="70"/>
    <x v="96"/>
  </r>
  <r>
    <x v="8"/>
    <x v="0"/>
    <x v="0"/>
    <x v="0"/>
    <x v="10"/>
    <b v="0"/>
    <n v="3"/>
    <x v="1"/>
    <n v="0.3"/>
    <n v="0.31819999999999998"/>
    <n v="0.81"/>
    <n v="8.9599999999999999E-2"/>
    <n v="5"/>
    <n v="65"/>
    <x v="96"/>
  </r>
  <r>
    <x v="0"/>
    <x v="0"/>
    <x v="0"/>
    <x v="0"/>
    <x v="5"/>
    <b v="0"/>
    <n v="4"/>
    <x v="1"/>
    <n v="0.32"/>
    <n v="0.31819999999999998"/>
    <n v="0.45"/>
    <n v="0.19400000000000001"/>
    <n v="8"/>
    <n v="62"/>
    <x v="96"/>
  </r>
  <r>
    <x v="22"/>
    <x v="0"/>
    <x v="0"/>
    <x v="0"/>
    <x v="10"/>
    <b v="0"/>
    <n v="6"/>
    <x v="1"/>
    <n v="0.06"/>
    <n v="0.1061"/>
    <n v="0.38"/>
    <n v="0.1045"/>
    <n v="10"/>
    <n v="60"/>
    <x v="96"/>
  </r>
  <r>
    <x v="11"/>
    <x v="0"/>
    <x v="0"/>
    <x v="0"/>
    <x v="6"/>
    <b v="0"/>
    <n v="1"/>
    <x v="0"/>
    <n v="0.16"/>
    <n v="0.1515"/>
    <n v="0.47"/>
    <n v="0.25369999999999998"/>
    <n v="4"/>
    <n v="66"/>
    <x v="96"/>
  </r>
  <r>
    <x v="2"/>
    <x v="0"/>
    <x v="0"/>
    <x v="0"/>
    <x v="7"/>
    <b v="0"/>
    <n v="4"/>
    <x v="0"/>
    <n v="0.2"/>
    <n v="0.21210000000000001"/>
    <n v="0.51"/>
    <n v="0.16420000000000001"/>
    <n v="3"/>
    <n v="66"/>
    <x v="97"/>
  </r>
  <r>
    <x v="23"/>
    <x v="0"/>
    <x v="0"/>
    <x v="0"/>
    <x v="2"/>
    <b v="0"/>
    <n v="6"/>
    <x v="0"/>
    <n v="0.16"/>
    <n v="0.1212"/>
    <n v="0.37"/>
    <n v="0.55220000000000002"/>
    <n v="5"/>
    <n v="64"/>
    <x v="97"/>
  </r>
  <r>
    <x v="15"/>
    <x v="0"/>
    <x v="0"/>
    <x v="0"/>
    <x v="6"/>
    <b v="0"/>
    <n v="3"/>
    <x v="0"/>
    <n v="0.22"/>
    <n v="0.19700000000000001"/>
    <n v="0.44"/>
    <n v="0.32840000000000003"/>
    <n v="5"/>
    <n v="63"/>
    <x v="98"/>
  </r>
  <r>
    <x v="12"/>
    <x v="0"/>
    <x v="0"/>
    <x v="0"/>
    <x v="5"/>
    <b v="0"/>
    <n v="5"/>
    <x v="0"/>
    <n v="0.24"/>
    <n v="0.2424"/>
    <n v="0.38"/>
    <n v="0.16420000000000001"/>
    <n v="9"/>
    <n v="59"/>
    <x v="98"/>
  </r>
  <r>
    <x v="12"/>
    <x v="0"/>
    <x v="0"/>
    <x v="0"/>
    <x v="7"/>
    <b v="0"/>
    <n v="5"/>
    <x v="0"/>
    <n v="0.18"/>
    <n v="0.2424"/>
    <n v="0.59"/>
    <n v="0"/>
    <n v="0"/>
    <n v="68"/>
    <x v="98"/>
  </r>
  <r>
    <x v="0"/>
    <x v="0"/>
    <x v="0"/>
    <x v="0"/>
    <x v="12"/>
    <b v="0"/>
    <n v="4"/>
    <x v="1"/>
    <n v="0.28000000000000003"/>
    <n v="0.2727"/>
    <n v="0.45"/>
    <n v="0.16420000000000001"/>
    <n v="5"/>
    <n v="63"/>
    <x v="98"/>
  </r>
  <r>
    <x v="4"/>
    <x v="0"/>
    <x v="0"/>
    <x v="0"/>
    <x v="11"/>
    <b v="0"/>
    <n v="5"/>
    <x v="0"/>
    <n v="0.2"/>
    <n v="0.18179999999999999"/>
    <n v="0.51"/>
    <n v="0.28360000000000002"/>
    <n v="2"/>
    <n v="66"/>
    <x v="98"/>
  </r>
  <r>
    <x v="1"/>
    <x v="0"/>
    <x v="0"/>
    <x v="0"/>
    <x v="8"/>
    <b v="0"/>
    <n v="2"/>
    <x v="1"/>
    <n v="0.3"/>
    <n v="0.33329999999999999"/>
    <n v="0.45"/>
    <n v="0"/>
    <n v="11"/>
    <n v="57"/>
    <x v="98"/>
  </r>
  <r>
    <x v="20"/>
    <x v="0"/>
    <x v="0"/>
    <x v="0"/>
    <x v="2"/>
    <b v="0"/>
    <n v="6"/>
    <x v="1"/>
    <n v="0.44"/>
    <m/>
    <n v="0.82"/>
    <n v="0.28360000000000002"/>
    <n v="15"/>
    <n v="52"/>
    <x v="99"/>
  </r>
  <r>
    <x v="2"/>
    <x v="0"/>
    <x v="0"/>
    <x v="0"/>
    <x v="9"/>
    <b v="0"/>
    <n v="4"/>
    <x v="0"/>
    <n v="0.26"/>
    <n v="0.2727"/>
    <n v="0.35"/>
    <n v="0.1045"/>
    <n v="12"/>
    <n v="55"/>
    <x v="99"/>
  </r>
  <r>
    <x v="6"/>
    <x v="0"/>
    <x v="0"/>
    <x v="0"/>
    <x v="12"/>
    <b v="0"/>
    <n v="5"/>
    <x v="1"/>
    <n v="0.2"/>
    <n v="0.19700000000000001"/>
    <n v="0.4"/>
    <n v="0.22389999999999999"/>
    <n v="19"/>
    <n v="48"/>
    <x v="99"/>
  </r>
  <r>
    <x v="18"/>
    <x v="0"/>
    <x v="0"/>
    <x v="0"/>
    <x v="1"/>
    <b v="0"/>
    <n v="0"/>
    <x v="0"/>
    <n v="0.2"/>
    <n v="0.21210000000000001"/>
    <n v="0.4"/>
    <n v="0.16420000000000001"/>
    <n v="11"/>
    <n v="56"/>
    <x v="99"/>
  </r>
  <r>
    <x v="22"/>
    <x v="0"/>
    <x v="0"/>
    <x v="0"/>
    <x v="2"/>
    <b v="0"/>
    <n v="6"/>
    <x v="0"/>
    <n v="0.12"/>
    <n v="0.19700000000000001"/>
    <n v="0.28000000000000003"/>
    <n v="0"/>
    <n v="8"/>
    <n v="59"/>
    <x v="99"/>
  </r>
  <r>
    <x v="24"/>
    <x v="0"/>
    <x v="0"/>
    <x v="0"/>
    <x v="2"/>
    <b v="0"/>
    <n v="0"/>
    <x v="0"/>
    <n v="0.34"/>
    <n v="0.33329999999999999"/>
    <n v="0.56999999999999995"/>
    <n v="0.19400000000000001"/>
    <n v="7"/>
    <n v="58"/>
    <x v="100"/>
  </r>
  <r>
    <x v="5"/>
    <x v="0"/>
    <x v="0"/>
    <x v="0"/>
    <x v="5"/>
    <b v="0"/>
    <n v="2"/>
    <x v="0"/>
    <n v="0.28000000000000003"/>
    <n v="0.2727"/>
    <n v="0.52"/>
    <n v="0.25369999999999998"/>
    <n v="17"/>
    <n v="48"/>
    <x v="100"/>
  </r>
  <r>
    <x v="4"/>
    <x v="0"/>
    <x v="0"/>
    <x v="0"/>
    <x v="5"/>
    <b v="0"/>
    <n v="5"/>
    <x v="0"/>
    <n v="0.16"/>
    <n v="0.1212"/>
    <n v="0.26"/>
    <n v="0.44779999999999998"/>
    <n v="4"/>
    <n v="61"/>
    <x v="100"/>
  </r>
  <r>
    <x v="19"/>
    <x v="0"/>
    <x v="0"/>
    <x v="0"/>
    <x v="6"/>
    <b v="0"/>
    <n v="0"/>
    <x v="0"/>
    <n v="0.16"/>
    <n v="0.13639999999999999"/>
    <n v="0.26"/>
    <n v="0.32840000000000003"/>
    <n v="9"/>
    <n v="56"/>
    <x v="100"/>
  </r>
  <r>
    <x v="13"/>
    <x v="0"/>
    <x v="0"/>
    <x v="0"/>
    <x v="11"/>
    <b v="0"/>
    <n v="1"/>
    <x v="0"/>
    <n v="0.14000000000000001"/>
    <n v="0.13639999999999999"/>
    <n v="0.5"/>
    <n v="0.19400000000000001"/>
    <n v="1"/>
    <n v="63"/>
    <x v="101"/>
  </r>
  <r>
    <x v="7"/>
    <x v="0"/>
    <x v="0"/>
    <x v="0"/>
    <x v="7"/>
    <b v="0"/>
    <n v="4"/>
    <x v="0"/>
    <n v="0.16"/>
    <n v="0.1515"/>
    <n v="0.47"/>
    <n v="0.22389999999999999"/>
    <n v="0"/>
    <n v="64"/>
    <x v="101"/>
  </r>
  <r>
    <x v="12"/>
    <x v="0"/>
    <x v="0"/>
    <x v="0"/>
    <x v="8"/>
    <b v="0"/>
    <n v="5"/>
    <x v="0"/>
    <n v="0.22"/>
    <n v="0.21210000000000001"/>
    <n v="0.41"/>
    <n v="0.28360000000000002"/>
    <n v="5"/>
    <n v="59"/>
    <x v="101"/>
  </r>
  <r>
    <x v="25"/>
    <x v="0"/>
    <x v="0"/>
    <x v="0"/>
    <x v="12"/>
    <b v="1"/>
    <n v="1"/>
    <x v="1"/>
    <n v="0.16"/>
    <n v="0.1515"/>
    <n v="0.55000000000000004"/>
    <n v="0.19400000000000001"/>
    <n v="9"/>
    <n v="55"/>
    <x v="101"/>
  </r>
  <r>
    <x v="5"/>
    <x v="0"/>
    <x v="0"/>
    <x v="0"/>
    <x v="8"/>
    <b v="0"/>
    <n v="2"/>
    <x v="0"/>
    <n v="0.26"/>
    <n v="0.2576"/>
    <n v="0.52"/>
    <n v="0.22389999999999999"/>
    <n v="9"/>
    <n v="54"/>
    <x v="102"/>
  </r>
  <r>
    <x v="6"/>
    <x v="0"/>
    <x v="0"/>
    <x v="0"/>
    <x v="13"/>
    <b v="0"/>
    <n v="5"/>
    <x v="0"/>
    <n v="0.22"/>
    <n v="0.19700000000000001"/>
    <n v="0.37"/>
    <n v="0.32840000000000003"/>
    <n v="16"/>
    <n v="47"/>
    <x v="102"/>
  </r>
  <r>
    <x v="3"/>
    <x v="0"/>
    <x v="0"/>
    <x v="0"/>
    <x v="8"/>
    <b v="0"/>
    <n v="2"/>
    <x v="1"/>
    <n v="0.2"/>
    <n v="0.2273"/>
    <n v="0.59"/>
    <n v="8.9599999999999999E-2"/>
    <n v="3"/>
    <n v="60"/>
    <x v="102"/>
  </r>
  <r>
    <x v="4"/>
    <x v="0"/>
    <x v="0"/>
    <x v="0"/>
    <x v="13"/>
    <b v="0"/>
    <n v="5"/>
    <x v="0"/>
    <n v="0.2"/>
    <n v="0.16669999999999999"/>
    <n v="0.47"/>
    <n v="0.4627"/>
    <n v="6"/>
    <n v="57"/>
    <x v="102"/>
  </r>
  <r>
    <x v="22"/>
    <x v="0"/>
    <x v="0"/>
    <x v="0"/>
    <x v="12"/>
    <b v="0"/>
    <n v="6"/>
    <x v="1"/>
    <n v="0.06"/>
    <n v="7.5800000000000006E-2"/>
    <n v="0.38"/>
    <n v="0.1343"/>
    <n v="4"/>
    <n v="59"/>
    <x v="102"/>
  </r>
  <r>
    <x v="11"/>
    <x v="0"/>
    <x v="0"/>
    <x v="0"/>
    <x v="10"/>
    <b v="0"/>
    <n v="1"/>
    <x v="1"/>
    <n v="0.12"/>
    <n v="0.13639999999999999"/>
    <n v="0.42"/>
    <n v="0.19400000000000001"/>
    <n v="11"/>
    <n v="52"/>
    <x v="102"/>
  </r>
  <r>
    <x v="9"/>
    <x v="0"/>
    <x v="0"/>
    <x v="0"/>
    <x v="8"/>
    <b v="0"/>
    <n v="3"/>
    <x v="0"/>
    <n v="0.3"/>
    <n v="0.28789999999999999"/>
    <n v="0.28000000000000003"/>
    <n v="0.19400000000000001"/>
    <n v="10"/>
    <n v="52"/>
    <x v="103"/>
  </r>
  <r>
    <x v="9"/>
    <x v="0"/>
    <x v="0"/>
    <x v="0"/>
    <x v="5"/>
    <b v="0"/>
    <n v="3"/>
    <x v="0"/>
    <n v="0.3"/>
    <n v="0.28789999999999999"/>
    <n v="0.28000000000000003"/>
    <n v="0.19400000000000001"/>
    <n v="7"/>
    <n v="55"/>
    <x v="103"/>
  </r>
  <r>
    <x v="2"/>
    <x v="0"/>
    <x v="0"/>
    <x v="0"/>
    <x v="5"/>
    <b v="0"/>
    <n v="4"/>
    <x v="0"/>
    <n v="0.28000000000000003"/>
    <n v="0.2727"/>
    <n v="0.36"/>
    <n v="0"/>
    <n v="8"/>
    <n v="54"/>
    <x v="103"/>
  </r>
  <r>
    <x v="23"/>
    <x v="0"/>
    <x v="0"/>
    <x v="0"/>
    <x v="12"/>
    <b v="0"/>
    <n v="6"/>
    <x v="1"/>
    <n v="0.2"/>
    <n v="0.18179999999999999"/>
    <n v="0.69"/>
    <n v="0.3881"/>
    <n v="2"/>
    <n v="60"/>
    <x v="103"/>
  </r>
  <r>
    <x v="26"/>
    <x v="0"/>
    <x v="0"/>
    <x v="0"/>
    <x v="2"/>
    <b v="0"/>
    <n v="0"/>
    <x v="0"/>
    <n v="0.18"/>
    <n v="0.1515"/>
    <n v="0.37"/>
    <n v="0.3881"/>
    <n v="3"/>
    <n v="59"/>
    <x v="103"/>
  </r>
  <r>
    <x v="4"/>
    <x v="0"/>
    <x v="0"/>
    <x v="0"/>
    <x v="8"/>
    <b v="0"/>
    <n v="5"/>
    <x v="0"/>
    <n v="0.2"/>
    <n v="0.1515"/>
    <n v="0.25"/>
    <n v="0.52239999999999998"/>
    <n v="6"/>
    <n v="56"/>
    <x v="103"/>
  </r>
  <r>
    <x v="13"/>
    <x v="0"/>
    <x v="0"/>
    <x v="0"/>
    <x v="10"/>
    <b v="0"/>
    <n v="1"/>
    <x v="0"/>
    <n v="0.22"/>
    <n v="0.21210000000000001"/>
    <n v="0.35"/>
    <n v="0.29849999999999999"/>
    <n v="13"/>
    <n v="48"/>
    <x v="104"/>
  </r>
  <r>
    <x v="13"/>
    <x v="0"/>
    <x v="0"/>
    <x v="0"/>
    <x v="9"/>
    <b v="0"/>
    <n v="1"/>
    <x v="0"/>
    <n v="0.24"/>
    <m/>
    <n v="0.35"/>
    <n v="0.28360000000000002"/>
    <n v="8"/>
    <n v="53"/>
    <x v="104"/>
  </r>
  <r>
    <x v="23"/>
    <x v="0"/>
    <x v="0"/>
    <x v="0"/>
    <x v="13"/>
    <b v="0"/>
    <n v="6"/>
    <x v="1"/>
    <n v="0.18"/>
    <n v="0.19700000000000001"/>
    <n v="0.8"/>
    <n v="0.16420000000000001"/>
    <n v="5"/>
    <n v="56"/>
    <x v="104"/>
  </r>
  <r>
    <x v="12"/>
    <x v="0"/>
    <x v="0"/>
    <x v="0"/>
    <x v="10"/>
    <b v="0"/>
    <n v="5"/>
    <x v="0"/>
    <n v="0.2"/>
    <n v="0.19700000000000001"/>
    <n v="0.44"/>
    <n v="0.25369999999999998"/>
    <n v="2"/>
    <n v="59"/>
    <x v="104"/>
  </r>
  <r>
    <x v="18"/>
    <x v="0"/>
    <x v="0"/>
    <x v="0"/>
    <x v="4"/>
    <b v="0"/>
    <n v="0"/>
    <x v="0"/>
    <n v="0.18"/>
    <n v="0.19700000000000001"/>
    <n v="0.47"/>
    <n v="0.1343"/>
    <n v="14"/>
    <n v="47"/>
    <x v="104"/>
  </r>
  <r>
    <x v="16"/>
    <x v="0"/>
    <x v="0"/>
    <x v="0"/>
    <x v="6"/>
    <b v="0"/>
    <n v="2"/>
    <x v="1"/>
    <n v="0.22"/>
    <n v="0.2273"/>
    <n v="0.87"/>
    <n v="0.19400000000000001"/>
    <n v="0"/>
    <n v="61"/>
    <x v="104"/>
  </r>
  <r>
    <x v="1"/>
    <x v="0"/>
    <x v="0"/>
    <x v="0"/>
    <x v="12"/>
    <b v="0"/>
    <n v="2"/>
    <x v="1"/>
    <n v="0.24"/>
    <n v="0.2424"/>
    <n v="0.6"/>
    <n v="0.1343"/>
    <n v="6"/>
    <n v="55"/>
    <x v="104"/>
  </r>
  <r>
    <x v="7"/>
    <x v="0"/>
    <x v="0"/>
    <x v="0"/>
    <x v="5"/>
    <b v="0"/>
    <n v="4"/>
    <x v="0"/>
    <n v="0.24"/>
    <n v="0.21210000000000001"/>
    <n v="0.38"/>
    <n v="0.29849999999999999"/>
    <n v="5"/>
    <n v="55"/>
    <x v="105"/>
  </r>
  <r>
    <x v="25"/>
    <x v="0"/>
    <x v="0"/>
    <x v="0"/>
    <x v="4"/>
    <b v="1"/>
    <n v="1"/>
    <x v="2"/>
    <n v="0.18"/>
    <n v="0.18179999999999999"/>
    <n v="0.59"/>
    <n v="0.19400000000000001"/>
    <n v="2"/>
    <n v="58"/>
    <x v="105"/>
  </r>
  <r>
    <x v="11"/>
    <x v="0"/>
    <x v="0"/>
    <x v="0"/>
    <x v="9"/>
    <b v="0"/>
    <n v="1"/>
    <x v="1"/>
    <n v="0.14000000000000001"/>
    <n v="0.13639999999999999"/>
    <n v="0.43"/>
    <n v="0.22389999999999999"/>
    <n v="6"/>
    <n v="54"/>
    <x v="105"/>
  </r>
  <r>
    <x v="14"/>
    <x v="0"/>
    <x v="0"/>
    <x v="0"/>
    <x v="11"/>
    <b v="0"/>
    <n v="5"/>
    <x v="1"/>
    <n v="0.16"/>
    <n v="0.19700000000000001"/>
    <n v="0.86"/>
    <n v="8.9599999999999999E-2"/>
    <n v="2"/>
    <n v="58"/>
    <x v="105"/>
  </r>
  <r>
    <x v="24"/>
    <x v="0"/>
    <x v="0"/>
    <x v="0"/>
    <x v="8"/>
    <b v="0"/>
    <n v="0"/>
    <x v="2"/>
    <n v="0.36"/>
    <m/>
    <n v="0.76"/>
    <n v="0.19400000000000001"/>
    <n v="4"/>
    <n v="55"/>
    <x v="106"/>
  </r>
  <r>
    <x v="2"/>
    <x v="0"/>
    <x v="0"/>
    <x v="0"/>
    <x v="12"/>
    <b v="0"/>
    <n v="4"/>
    <x v="0"/>
    <n v="0.22"/>
    <n v="0.2576"/>
    <n v="0.44"/>
    <n v="8.9599999999999999E-2"/>
    <n v="2"/>
    <n v="57"/>
    <x v="106"/>
  </r>
  <r>
    <x v="6"/>
    <x v="0"/>
    <x v="0"/>
    <x v="0"/>
    <x v="10"/>
    <b v="0"/>
    <n v="5"/>
    <x v="1"/>
    <n v="0.2"/>
    <n v="0.19700000000000001"/>
    <n v="0.37"/>
    <n v="0.25369999999999998"/>
    <n v="9"/>
    <n v="50"/>
    <x v="106"/>
  </r>
  <r>
    <x v="17"/>
    <x v="0"/>
    <x v="0"/>
    <x v="0"/>
    <x v="13"/>
    <b v="0"/>
    <n v="6"/>
    <x v="0"/>
    <n v="0.18"/>
    <n v="0.19700000000000001"/>
    <n v="0.59"/>
    <n v="0.16420000000000001"/>
    <n v="2"/>
    <n v="57"/>
    <x v="106"/>
  </r>
  <r>
    <x v="8"/>
    <x v="0"/>
    <x v="0"/>
    <x v="0"/>
    <x v="14"/>
    <b v="0"/>
    <n v="3"/>
    <x v="0"/>
    <n v="0.32"/>
    <n v="0.28789999999999999"/>
    <n v="0.49"/>
    <n v="0.41789999999999999"/>
    <n v="4"/>
    <n v="55"/>
    <x v="106"/>
  </r>
  <r>
    <x v="8"/>
    <x v="0"/>
    <x v="0"/>
    <x v="0"/>
    <x v="15"/>
    <b v="0"/>
    <n v="3"/>
    <x v="0"/>
    <n v="0.3"/>
    <n v="0.30299999999999999"/>
    <n v="0.52"/>
    <n v="0.16420000000000001"/>
    <n v="6"/>
    <n v="53"/>
    <x v="106"/>
  </r>
  <r>
    <x v="4"/>
    <x v="0"/>
    <x v="0"/>
    <x v="0"/>
    <x v="12"/>
    <b v="0"/>
    <n v="5"/>
    <x v="0"/>
    <n v="0.22"/>
    <n v="0.18179999999999999"/>
    <n v="0.41"/>
    <n v="0.4627"/>
    <n v="6"/>
    <n v="53"/>
    <x v="106"/>
  </r>
  <r>
    <x v="22"/>
    <x v="0"/>
    <x v="0"/>
    <x v="0"/>
    <x v="4"/>
    <b v="0"/>
    <n v="6"/>
    <x v="0"/>
    <n v="0.08"/>
    <n v="0.1061"/>
    <n v="0.35"/>
    <n v="0.1343"/>
    <n v="6"/>
    <n v="53"/>
    <x v="106"/>
  </r>
  <r>
    <x v="11"/>
    <x v="0"/>
    <x v="0"/>
    <x v="0"/>
    <x v="14"/>
    <b v="0"/>
    <n v="1"/>
    <x v="0"/>
    <n v="0.14000000000000001"/>
    <n v="0.1515"/>
    <n v="0.63"/>
    <n v="0.16420000000000001"/>
    <n v="6"/>
    <n v="53"/>
    <x v="106"/>
  </r>
  <r>
    <x v="21"/>
    <x v="0"/>
    <x v="0"/>
    <x v="0"/>
    <x v="7"/>
    <b v="0"/>
    <n v="4"/>
    <x v="0"/>
    <n v="0.18"/>
    <n v="0.21210000000000001"/>
    <n v="0.74"/>
    <n v="8.9599999999999999E-2"/>
    <n v="4"/>
    <n v="55"/>
    <x v="106"/>
  </r>
  <r>
    <x v="19"/>
    <x v="0"/>
    <x v="0"/>
    <x v="0"/>
    <x v="13"/>
    <b v="0"/>
    <n v="0"/>
    <x v="0"/>
    <n v="0.14000000000000001"/>
    <n v="0.1061"/>
    <n v="0.46"/>
    <n v="0.3881"/>
    <n v="7"/>
    <n v="51"/>
    <x v="107"/>
  </r>
  <r>
    <x v="27"/>
    <x v="0"/>
    <x v="0"/>
    <x v="0"/>
    <x v="3"/>
    <b v="0"/>
    <n v="3"/>
    <x v="2"/>
    <n v="0.22"/>
    <n v="0.21210000000000001"/>
    <n v="0.87"/>
    <n v="0.29849999999999999"/>
    <n v="3"/>
    <n v="55"/>
    <x v="107"/>
  </r>
  <r>
    <x v="5"/>
    <x v="0"/>
    <x v="0"/>
    <x v="0"/>
    <x v="12"/>
    <b v="0"/>
    <n v="2"/>
    <x v="0"/>
    <n v="0.22"/>
    <n v="0.21210000000000001"/>
    <n v="0.51"/>
    <n v="0.29849999999999999"/>
    <n v="7"/>
    <n v="50"/>
    <x v="108"/>
  </r>
  <r>
    <x v="9"/>
    <x v="0"/>
    <x v="0"/>
    <x v="0"/>
    <x v="13"/>
    <b v="0"/>
    <n v="3"/>
    <x v="0"/>
    <n v="0.22"/>
    <n v="0.19700000000000001"/>
    <n v="0.37"/>
    <n v="0.32840000000000003"/>
    <n v="4"/>
    <n v="53"/>
    <x v="108"/>
  </r>
  <r>
    <x v="3"/>
    <x v="0"/>
    <x v="0"/>
    <x v="0"/>
    <x v="10"/>
    <b v="0"/>
    <n v="2"/>
    <x v="1"/>
    <n v="0.2"/>
    <n v="0.2273"/>
    <n v="0.51"/>
    <n v="0.1045"/>
    <n v="2"/>
    <n v="55"/>
    <x v="108"/>
  </r>
  <r>
    <x v="15"/>
    <x v="0"/>
    <x v="0"/>
    <x v="0"/>
    <x v="14"/>
    <b v="0"/>
    <n v="3"/>
    <x v="0"/>
    <n v="0.16"/>
    <n v="0.13639999999999999"/>
    <n v="0.55000000000000004"/>
    <n v="0.32840000000000003"/>
    <n v="0"/>
    <n v="57"/>
    <x v="108"/>
  </r>
  <r>
    <x v="17"/>
    <x v="0"/>
    <x v="0"/>
    <x v="0"/>
    <x v="14"/>
    <b v="0"/>
    <n v="6"/>
    <x v="1"/>
    <n v="0.32"/>
    <n v="0.30299999999999999"/>
    <n v="0.39"/>
    <n v="0.22389999999999999"/>
    <n v="6"/>
    <n v="51"/>
    <x v="108"/>
  </r>
  <r>
    <x v="18"/>
    <x v="0"/>
    <x v="0"/>
    <x v="0"/>
    <x v="7"/>
    <b v="0"/>
    <n v="0"/>
    <x v="0"/>
    <n v="0.18"/>
    <n v="0.19700000000000001"/>
    <n v="0.47"/>
    <n v="0.16420000000000001"/>
    <n v="7"/>
    <n v="50"/>
    <x v="108"/>
  </r>
  <r>
    <x v="25"/>
    <x v="0"/>
    <x v="0"/>
    <x v="0"/>
    <x v="13"/>
    <b v="1"/>
    <n v="1"/>
    <x v="1"/>
    <n v="0.16"/>
    <n v="0.1515"/>
    <n v="0.5"/>
    <n v="0.25369999999999998"/>
    <n v="7"/>
    <n v="50"/>
    <x v="108"/>
  </r>
  <r>
    <x v="0"/>
    <x v="0"/>
    <x v="0"/>
    <x v="0"/>
    <x v="13"/>
    <b v="0"/>
    <n v="4"/>
    <x v="0"/>
    <n v="0.26"/>
    <n v="0.2273"/>
    <n v="0.48"/>
    <n v="0.29849999999999999"/>
    <n v="1"/>
    <n v="56"/>
    <x v="108"/>
  </r>
  <r>
    <x v="0"/>
    <x v="0"/>
    <x v="0"/>
    <x v="0"/>
    <x v="14"/>
    <b v="0"/>
    <n v="4"/>
    <x v="1"/>
    <n v="0.24"/>
    <n v="0.2273"/>
    <n v="0.6"/>
    <n v="0.25369999999999998"/>
    <n v="3"/>
    <n v="54"/>
    <x v="108"/>
  </r>
  <r>
    <x v="11"/>
    <x v="0"/>
    <x v="0"/>
    <x v="0"/>
    <x v="5"/>
    <b v="0"/>
    <n v="1"/>
    <x v="0"/>
    <n v="0.16"/>
    <n v="0.16669999999999999"/>
    <n v="0.4"/>
    <n v="0.16420000000000001"/>
    <n v="7"/>
    <n v="50"/>
    <x v="108"/>
  </r>
  <r>
    <x v="20"/>
    <x v="0"/>
    <x v="0"/>
    <x v="0"/>
    <x v="12"/>
    <b v="0"/>
    <n v="6"/>
    <x v="0"/>
    <n v="0.36"/>
    <n v="0.33329999999999999"/>
    <n v="0.81"/>
    <n v="0.28360000000000002"/>
    <n v="26"/>
    <n v="30"/>
    <x v="109"/>
  </r>
  <r>
    <x v="15"/>
    <x v="0"/>
    <x v="0"/>
    <x v="0"/>
    <x v="7"/>
    <b v="0"/>
    <n v="3"/>
    <x v="0"/>
    <n v="0.16"/>
    <n v="0.13639999999999999"/>
    <n v="0.5"/>
    <n v="0.32840000000000003"/>
    <n v="2"/>
    <n v="54"/>
    <x v="109"/>
  </r>
  <r>
    <x v="0"/>
    <x v="0"/>
    <x v="0"/>
    <x v="0"/>
    <x v="15"/>
    <b v="0"/>
    <n v="4"/>
    <x v="1"/>
    <n v="0.24"/>
    <n v="0.21210000000000001"/>
    <n v="0.65"/>
    <n v="0.28360000000000002"/>
    <n v="0"/>
    <n v="56"/>
    <x v="109"/>
  </r>
  <r>
    <x v="23"/>
    <x v="0"/>
    <x v="0"/>
    <x v="0"/>
    <x v="1"/>
    <b v="0"/>
    <n v="6"/>
    <x v="0"/>
    <n v="0.14000000000000001"/>
    <n v="0.1212"/>
    <n v="0.39"/>
    <n v="0.29849999999999999"/>
    <n v="3"/>
    <n v="52"/>
    <x v="110"/>
  </r>
  <r>
    <x v="15"/>
    <x v="0"/>
    <x v="0"/>
    <x v="0"/>
    <x v="10"/>
    <b v="0"/>
    <n v="3"/>
    <x v="0"/>
    <n v="0.2"/>
    <n v="0.1515"/>
    <n v="0.47"/>
    <n v="0.58209999999999995"/>
    <n v="3"/>
    <n v="52"/>
    <x v="110"/>
  </r>
  <r>
    <x v="19"/>
    <x v="0"/>
    <x v="0"/>
    <x v="0"/>
    <x v="2"/>
    <b v="0"/>
    <n v="0"/>
    <x v="0"/>
    <n v="0.14000000000000001"/>
    <n v="0.1061"/>
    <n v="0.26"/>
    <n v="0.3881"/>
    <n v="5"/>
    <n v="50"/>
    <x v="110"/>
  </r>
  <r>
    <x v="1"/>
    <x v="0"/>
    <x v="0"/>
    <x v="0"/>
    <x v="13"/>
    <b v="0"/>
    <n v="2"/>
    <x v="1"/>
    <n v="0.22"/>
    <n v="0.2424"/>
    <n v="0.6"/>
    <n v="0.1045"/>
    <n v="6"/>
    <n v="49"/>
    <x v="110"/>
  </r>
  <r>
    <x v="5"/>
    <x v="0"/>
    <x v="0"/>
    <x v="0"/>
    <x v="7"/>
    <b v="0"/>
    <n v="2"/>
    <x v="0"/>
    <n v="0.24"/>
    <n v="0.2576"/>
    <n v="0.48"/>
    <n v="0.1045"/>
    <n v="1"/>
    <n v="53"/>
    <x v="111"/>
  </r>
  <r>
    <x v="10"/>
    <x v="0"/>
    <x v="0"/>
    <x v="0"/>
    <x v="9"/>
    <b v="0"/>
    <n v="1"/>
    <x v="1"/>
    <n v="0.2"/>
    <n v="0.18179999999999999"/>
    <n v="0.4"/>
    <n v="0.28360000000000002"/>
    <n v="4"/>
    <n v="50"/>
    <x v="111"/>
  </r>
  <r>
    <x v="3"/>
    <x v="0"/>
    <x v="0"/>
    <x v="0"/>
    <x v="13"/>
    <b v="0"/>
    <n v="2"/>
    <x v="1"/>
    <n v="0.2"/>
    <n v="0.21210000000000001"/>
    <n v="0.51"/>
    <n v="0.16420000000000001"/>
    <n v="3"/>
    <n v="51"/>
    <x v="111"/>
  </r>
  <r>
    <x v="15"/>
    <x v="0"/>
    <x v="0"/>
    <x v="0"/>
    <x v="11"/>
    <b v="0"/>
    <n v="3"/>
    <x v="0"/>
    <n v="0.14000000000000001"/>
    <n v="0.1515"/>
    <n v="0.69"/>
    <n v="0.1343"/>
    <n v="0"/>
    <n v="54"/>
    <x v="111"/>
  </r>
  <r>
    <x v="22"/>
    <x v="0"/>
    <x v="0"/>
    <x v="0"/>
    <x v="1"/>
    <b v="0"/>
    <n v="6"/>
    <x v="0"/>
    <n v="0.08"/>
    <n v="9.0899999999999995E-2"/>
    <n v="0.35"/>
    <n v="0.19400000000000001"/>
    <n v="0"/>
    <n v="54"/>
    <x v="111"/>
  </r>
  <r>
    <x v="24"/>
    <x v="0"/>
    <x v="0"/>
    <x v="0"/>
    <x v="13"/>
    <b v="0"/>
    <n v="0"/>
    <x v="1"/>
    <n v="0.36"/>
    <n v="0.34849999999999998"/>
    <n v="0.81"/>
    <n v="0.22389999999999999"/>
    <n v="7"/>
    <n v="46"/>
    <x v="112"/>
  </r>
  <r>
    <x v="24"/>
    <x v="0"/>
    <x v="0"/>
    <x v="0"/>
    <x v="1"/>
    <b v="0"/>
    <n v="0"/>
    <x v="1"/>
    <n v="0.36"/>
    <n v="0.33329999999999999"/>
    <n v="0.46"/>
    <n v="0.32840000000000003"/>
    <n v="10"/>
    <n v="43"/>
    <x v="112"/>
  </r>
  <r>
    <x v="12"/>
    <x v="0"/>
    <x v="0"/>
    <x v="0"/>
    <x v="12"/>
    <b v="0"/>
    <n v="5"/>
    <x v="0"/>
    <n v="0.18"/>
    <n v="0.16669999999999999"/>
    <n v="0.51"/>
    <n v="0.28360000000000002"/>
    <n v="6"/>
    <n v="47"/>
    <x v="112"/>
  </r>
  <r>
    <x v="4"/>
    <x v="0"/>
    <x v="0"/>
    <x v="0"/>
    <x v="7"/>
    <b v="0"/>
    <n v="5"/>
    <x v="0"/>
    <n v="0.1"/>
    <n v="7.5800000000000006E-2"/>
    <n v="0.33"/>
    <n v="0.41789999999999999"/>
    <n v="1"/>
    <n v="52"/>
    <x v="112"/>
  </r>
  <r>
    <x v="22"/>
    <x v="0"/>
    <x v="0"/>
    <x v="0"/>
    <x v="13"/>
    <b v="0"/>
    <n v="6"/>
    <x v="1"/>
    <n v="0.04"/>
    <n v="6.0600000000000001E-2"/>
    <n v="0.41"/>
    <n v="0.16420000000000001"/>
    <n v="3"/>
    <n v="50"/>
    <x v="112"/>
  </r>
  <r>
    <x v="1"/>
    <x v="0"/>
    <x v="0"/>
    <x v="0"/>
    <x v="15"/>
    <b v="0"/>
    <n v="2"/>
    <x v="0"/>
    <n v="0.22"/>
    <n v="0.2273"/>
    <n v="0.64"/>
    <n v="0.16420000000000001"/>
    <n v="4"/>
    <n v="49"/>
    <x v="112"/>
  </r>
  <r>
    <x v="13"/>
    <x v="0"/>
    <x v="0"/>
    <x v="0"/>
    <x v="7"/>
    <b v="0"/>
    <n v="1"/>
    <x v="0"/>
    <n v="0.2"/>
    <m/>
    <n v="0.47"/>
    <n v="0.1045"/>
    <n v="3"/>
    <n v="49"/>
    <x v="113"/>
  </r>
  <r>
    <x v="13"/>
    <x v="0"/>
    <x v="0"/>
    <x v="0"/>
    <x v="14"/>
    <b v="0"/>
    <n v="1"/>
    <x v="0"/>
    <n v="0.18"/>
    <n v="0.19700000000000001"/>
    <n v="0.64"/>
    <n v="0.1343"/>
    <n v="3"/>
    <n v="49"/>
    <x v="113"/>
  </r>
  <r>
    <x v="2"/>
    <x v="0"/>
    <x v="0"/>
    <x v="0"/>
    <x v="15"/>
    <b v="0"/>
    <n v="4"/>
    <x v="1"/>
    <n v="0.22"/>
    <n v="0.21210000000000001"/>
    <n v="0.51"/>
    <n v="0.28360000000000002"/>
    <n v="1"/>
    <n v="51"/>
    <x v="113"/>
  </r>
  <r>
    <x v="10"/>
    <x v="0"/>
    <x v="0"/>
    <x v="0"/>
    <x v="10"/>
    <b v="0"/>
    <n v="1"/>
    <x v="1"/>
    <n v="0.2"/>
    <n v="0.18179999999999999"/>
    <n v="0.4"/>
    <n v="0.28360000000000002"/>
    <n v="5"/>
    <n v="47"/>
    <x v="113"/>
  </r>
  <r>
    <x v="3"/>
    <x v="0"/>
    <x v="0"/>
    <x v="0"/>
    <x v="9"/>
    <b v="0"/>
    <n v="2"/>
    <x v="1"/>
    <n v="0.2"/>
    <n v="0.2273"/>
    <n v="0.59"/>
    <n v="8.9599999999999999E-2"/>
    <n v="6"/>
    <n v="46"/>
    <x v="113"/>
  </r>
  <r>
    <x v="7"/>
    <x v="0"/>
    <x v="0"/>
    <x v="0"/>
    <x v="10"/>
    <b v="0"/>
    <n v="4"/>
    <x v="0"/>
    <n v="0.2"/>
    <n v="0.16669999999999999"/>
    <n v="0.44"/>
    <n v="0.41789999999999999"/>
    <n v="3"/>
    <n v="49"/>
    <x v="113"/>
  </r>
  <r>
    <x v="12"/>
    <x v="0"/>
    <x v="0"/>
    <x v="0"/>
    <x v="14"/>
    <b v="0"/>
    <n v="5"/>
    <x v="0"/>
    <n v="0.16"/>
    <n v="0.2273"/>
    <n v="0.69"/>
    <n v="0"/>
    <n v="4"/>
    <n v="48"/>
    <x v="113"/>
  </r>
  <r>
    <x v="8"/>
    <x v="0"/>
    <x v="0"/>
    <x v="0"/>
    <x v="12"/>
    <b v="0"/>
    <n v="3"/>
    <x v="1"/>
    <n v="0.28000000000000003"/>
    <n v="0.30299999999999999"/>
    <n v="0.87"/>
    <n v="8.9599999999999999E-2"/>
    <n v="5"/>
    <n v="47"/>
    <x v="113"/>
  </r>
  <r>
    <x v="13"/>
    <x v="0"/>
    <x v="0"/>
    <x v="0"/>
    <x v="12"/>
    <b v="0"/>
    <n v="1"/>
    <x v="0"/>
    <n v="0.2"/>
    <n v="0.18179999999999999"/>
    <n v="0.4"/>
    <n v="0.32840000000000003"/>
    <n v="10"/>
    <n v="41"/>
    <x v="114"/>
  </r>
  <r>
    <x v="6"/>
    <x v="0"/>
    <x v="0"/>
    <x v="0"/>
    <x v="7"/>
    <b v="0"/>
    <n v="5"/>
    <x v="0"/>
    <n v="0.18"/>
    <n v="0.21210000000000001"/>
    <n v="0.47"/>
    <n v="0.1045"/>
    <n v="1"/>
    <n v="50"/>
    <x v="114"/>
  </r>
  <r>
    <x v="3"/>
    <x v="0"/>
    <x v="0"/>
    <x v="0"/>
    <x v="4"/>
    <b v="0"/>
    <n v="2"/>
    <x v="2"/>
    <n v="0.16"/>
    <n v="0.2273"/>
    <n v="0.93"/>
    <n v="0"/>
    <n v="0"/>
    <n v="51"/>
    <x v="114"/>
  </r>
  <r>
    <x v="6"/>
    <x v="0"/>
    <x v="0"/>
    <x v="0"/>
    <x v="8"/>
    <b v="0"/>
    <n v="5"/>
    <x v="1"/>
    <n v="0.2"/>
    <n v="0.19700000000000001"/>
    <n v="0.4"/>
    <n v="0.25369999999999998"/>
    <n v="7"/>
    <n v="43"/>
    <x v="115"/>
  </r>
  <r>
    <x v="19"/>
    <x v="0"/>
    <x v="0"/>
    <x v="0"/>
    <x v="4"/>
    <b v="0"/>
    <n v="0"/>
    <x v="0"/>
    <n v="0.12"/>
    <n v="0.1212"/>
    <n v="0.3"/>
    <n v="0.28360000000000002"/>
    <n v="5"/>
    <n v="45"/>
    <x v="115"/>
  </r>
  <r>
    <x v="26"/>
    <x v="0"/>
    <x v="0"/>
    <x v="0"/>
    <x v="13"/>
    <b v="0"/>
    <n v="0"/>
    <x v="0"/>
    <n v="0.14000000000000001"/>
    <n v="0.1061"/>
    <n v="0.43"/>
    <n v="0.3881"/>
    <n v="0"/>
    <n v="49"/>
    <x v="116"/>
  </r>
  <r>
    <x v="26"/>
    <x v="0"/>
    <x v="0"/>
    <x v="0"/>
    <x v="12"/>
    <b v="0"/>
    <n v="0"/>
    <x v="0"/>
    <n v="0.16"/>
    <n v="0.1212"/>
    <n v="0.4"/>
    <n v="0.52239999999999998"/>
    <n v="2"/>
    <n v="47"/>
    <x v="116"/>
  </r>
  <r>
    <x v="15"/>
    <x v="0"/>
    <x v="0"/>
    <x v="0"/>
    <x v="9"/>
    <b v="0"/>
    <n v="3"/>
    <x v="0"/>
    <n v="0.22"/>
    <n v="0.19700000000000001"/>
    <n v="0.44"/>
    <n v="0.35820000000000002"/>
    <n v="0"/>
    <n v="49"/>
    <x v="116"/>
  </r>
  <r>
    <x v="15"/>
    <x v="0"/>
    <x v="0"/>
    <x v="0"/>
    <x v="5"/>
    <b v="0"/>
    <n v="3"/>
    <x v="0"/>
    <n v="0.2"/>
    <n v="0.16669999999999999"/>
    <n v="0.47"/>
    <n v="0.41789999999999999"/>
    <n v="1"/>
    <n v="48"/>
    <x v="116"/>
  </r>
  <r>
    <x v="19"/>
    <x v="0"/>
    <x v="0"/>
    <x v="0"/>
    <x v="1"/>
    <b v="0"/>
    <n v="0"/>
    <x v="0"/>
    <n v="0.12"/>
    <n v="0.1212"/>
    <n v="0.3"/>
    <n v="0.25369999999999998"/>
    <n v="5"/>
    <n v="44"/>
    <x v="116"/>
  </r>
  <r>
    <x v="14"/>
    <x v="0"/>
    <x v="0"/>
    <x v="0"/>
    <x v="13"/>
    <b v="0"/>
    <n v="5"/>
    <x v="2"/>
    <n v="0.18"/>
    <n v="0.21210000000000001"/>
    <n v="0.86"/>
    <n v="0.1045"/>
    <n v="0"/>
    <n v="49"/>
    <x v="116"/>
  </r>
  <r>
    <x v="5"/>
    <x v="0"/>
    <x v="0"/>
    <x v="0"/>
    <x v="14"/>
    <b v="0"/>
    <n v="2"/>
    <x v="0"/>
    <n v="0.22"/>
    <n v="0.2727"/>
    <n v="0.64"/>
    <n v="0"/>
    <n v="0"/>
    <n v="48"/>
    <x v="117"/>
  </r>
  <r>
    <x v="2"/>
    <x v="0"/>
    <x v="0"/>
    <x v="0"/>
    <x v="14"/>
    <b v="0"/>
    <n v="4"/>
    <x v="1"/>
    <n v="0.22"/>
    <n v="0.21210000000000001"/>
    <n v="0.55000000000000004"/>
    <n v="0.22389999999999999"/>
    <n v="0"/>
    <n v="48"/>
    <x v="117"/>
  </r>
  <r>
    <x v="26"/>
    <x v="0"/>
    <x v="0"/>
    <x v="0"/>
    <x v="1"/>
    <b v="0"/>
    <n v="0"/>
    <x v="0"/>
    <n v="0.16"/>
    <n v="0.13639999999999999"/>
    <n v="0.4"/>
    <n v="0.32840000000000003"/>
    <n v="4"/>
    <n v="44"/>
    <x v="117"/>
  </r>
  <r>
    <x v="27"/>
    <x v="0"/>
    <x v="0"/>
    <x v="0"/>
    <x v="10"/>
    <b v="0"/>
    <n v="3"/>
    <x v="2"/>
    <n v="0.22"/>
    <n v="0.19700000000000001"/>
    <n v="0.93"/>
    <n v="0.32840000000000003"/>
    <n v="7"/>
    <n v="41"/>
    <x v="117"/>
  </r>
  <r>
    <x v="10"/>
    <x v="0"/>
    <x v="0"/>
    <x v="0"/>
    <x v="8"/>
    <b v="0"/>
    <n v="1"/>
    <x v="1"/>
    <n v="0.2"/>
    <n v="0.19700000000000001"/>
    <n v="0.4"/>
    <n v="0.22389999999999999"/>
    <n v="0"/>
    <n v="47"/>
    <x v="118"/>
  </r>
  <r>
    <x v="3"/>
    <x v="0"/>
    <x v="0"/>
    <x v="0"/>
    <x v="5"/>
    <b v="0"/>
    <n v="2"/>
    <x v="1"/>
    <n v="0.16"/>
    <n v="0.19700000000000001"/>
    <n v="0.8"/>
    <n v="8.9599999999999999E-2"/>
    <n v="2"/>
    <n v="45"/>
    <x v="118"/>
  </r>
  <r>
    <x v="25"/>
    <x v="0"/>
    <x v="0"/>
    <x v="0"/>
    <x v="3"/>
    <b v="1"/>
    <n v="1"/>
    <x v="1"/>
    <n v="0.16"/>
    <n v="0.1515"/>
    <n v="0.47"/>
    <n v="0.22389999999999999"/>
    <n v="8"/>
    <n v="39"/>
    <x v="118"/>
  </r>
  <r>
    <x v="8"/>
    <x v="0"/>
    <x v="0"/>
    <x v="0"/>
    <x v="13"/>
    <b v="0"/>
    <n v="3"/>
    <x v="1"/>
    <n v="0.26"/>
    <n v="0.2727"/>
    <n v="0.93"/>
    <n v="0.1343"/>
    <n v="1"/>
    <n v="46"/>
    <x v="118"/>
  </r>
  <r>
    <x v="27"/>
    <x v="0"/>
    <x v="0"/>
    <x v="0"/>
    <x v="9"/>
    <b v="0"/>
    <n v="3"/>
    <x v="2"/>
    <n v="0.22"/>
    <n v="0.19700000000000001"/>
    <n v="0.93"/>
    <n v="0.32840000000000003"/>
    <n v="4"/>
    <n v="43"/>
    <x v="118"/>
  </r>
  <r>
    <x v="9"/>
    <x v="0"/>
    <x v="0"/>
    <x v="0"/>
    <x v="12"/>
    <b v="0"/>
    <n v="3"/>
    <x v="0"/>
    <n v="0.26"/>
    <n v="0.2273"/>
    <n v="0.33"/>
    <n v="0.32840000000000003"/>
    <n v="12"/>
    <n v="34"/>
    <x v="119"/>
  </r>
  <r>
    <x v="11"/>
    <x v="0"/>
    <x v="0"/>
    <x v="0"/>
    <x v="12"/>
    <b v="0"/>
    <n v="1"/>
    <x v="0"/>
    <n v="0.1"/>
    <n v="0.1212"/>
    <n v="0.46"/>
    <n v="0.1343"/>
    <n v="3"/>
    <n v="43"/>
    <x v="119"/>
  </r>
  <r>
    <x v="2"/>
    <x v="0"/>
    <x v="0"/>
    <x v="0"/>
    <x v="13"/>
    <b v="0"/>
    <n v="4"/>
    <x v="0"/>
    <n v="0.2"/>
    <n v="0.2576"/>
    <n v="0.47"/>
    <n v="0"/>
    <n v="3"/>
    <n v="42"/>
    <x v="120"/>
  </r>
  <r>
    <x v="10"/>
    <x v="0"/>
    <x v="0"/>
    <x v="0"/>
    <x v="5"/>
    <b v="0"/>
    <n v="1"/>
    <x v="1"/>
    <n v="0.2"/>
    <n v="0.19700000000000001"/>
    <n v="0.4"/>
    <n v="0.22389999999999999"/>
    <n v="2"/>
    <n v="43"/>
    <x v="120"/>
  </r>
  <r>
    <x v="22"/>
    <x v="0"/>
    <x v="0"/>
    <x v="0"/>
    <x v="7"/>
    <b v="0"/>
    <n v="6"/>
    <x v="0"/>
    <n v="0.06"/>
    <n v="7.5800000000000006E-2"/>
    <n v="0.45"/>
    <n v="0.16420000000000001"/>
    <n v="1"/>
    <n v="44"/>
    <x v="120"/>
  </r>
  <r>
    <x v="11"/>
    <x v="0"/>
    <x v="0"/>
    <x v="0"/>
    <x v="8"/>
    <b v="0"/>
    <n v="1"/>
    <x v="1"/>
    <n v="0.14000000000000001"/>
    <n v="0.13639999999999999"/>
    <n v="0.46"/>
    <n v="0.22389999999999999"/>
    <n v="2"/>
    <n v="43"/>
    <x v="120"/>
  </r>
  <r>
    <x v="1"/>
    <x v="0"/>
    <x v="0"/>
    <x v="0"/>
    <x v="14"/>
    <b v="0"/>
    <n v="2"/>
    <x v="0"/>
    <n v="0.24"/>
    <n v="0.2273"/>
    <n v="0.65"/>
    <n v="0.19400000000000001"/>
    <n v="5"/>
    <n v="40"/>
    <x v="120"/>
  </r>
  <r>
    <x v="13"/>
    <x v="0"/>
    <x v="0"/>
    <x v="0"/>
    <x v="13"/>
    <b v="0"/>
    <n v="1"/>
    <x v="0"/>
    <n v="0.18"/>
    <n v="0.16669999999999999"/>
    <n v="0.43"/>
    <n v="0.25369999999999998"/>
    <n v="11"/>
    <n v="33"/>
    <x v="121"/>
  </r>
  <r>
    <x v="15"/>
    <x v="0"/>
    <x v="0"/>
    <x v="0"/>
    <x v="8"/>
    <b v="0"/>
    <n v="3"/>
    <x v="0"/>
    <n v="0.2"/>
    <n v="0.18179999999999999"/>
    <n v="0.47"/>
    <n v="0.32840000000000003"/>
    <n v="0"/>
    <n v="44"/>
    <x v="121"/>
  </r>
  <r>
    <x v="12"/>
    <x v="0"/>
    <x v="0"/>
    <x v="0"/>
    <x v="13"/>
    <b v="0"/>
    <n v="5"/>
    <x v="0"/>
    <n v="0.18"/>
    <n v="0.18179999999999999"/>
    <n v="0.55000000000000004"/>
    <n v="0.19400000000000001"/>
    <n v="4"/>
    <n v="40"/>
    <x v="121"/>
  </r>
  <r>
    <x v="17"/>
    <x v="0"/>
    <x v="0"/>
    <x v="0"/>
    <x v="16"/>
    <b v="0"/>
    <n v="6"/>
    <x v="0"/>
    <n v="0.3"/>
    <n v="0.28789999999999999"/>
    <n v="0.45"/>
    <n v="0.28360000000000002"/>
    <n v="5"/>
    <n v="39"/>
    <x v="121"/>
  </r>
  <r>
    <x v="9"/>
    <x v="0"/>
    <x v="0"/>
    <x v="0"/>
    <x v="14"/>
    <b v="0"/>
    <n v="3"/>
    <x v="0"/>
    <n v="0.2"/>
    <n v="0.19700000000000001"/>
    <n v="0.51"/>
    <n v="0.19400000000000001"/>
    <n v="3"/>
    <n v="40"/>
    <x v="122"/>
  </r>
  <r>
    <x v="27"/>
    <x v="0"/>
    <x v="0"/>
    <x v="0"/>
    <x v="5"/>
    <b v="0"/>
    <n v="3"/>
    <x v="2"/>
    <n v="0.22"/>
    <n v="0.18179999999999999"/>
    <n v="0.93"/>
    <n v="0.4627"/>
    <n v="1"/>
    <n v="42"/>
    <x v="122"/>
  </r>
  <r>
    <x v="5"/>
    <x v="0"/>
    <x v="0"/>
    <x v="0"/>
    <x v="13"/>
    <b v="0"/>
    <n v="2"/>
    <x v="1"/>
    <n v="0.16"/>
    <n v="0.13639999999999999"/>
    <n v="0.69"/>
    <n v="0.32840000000000003"/>
    <n v="5"/>
    <n v="37"/>
    <x v="123"/>
  </r>
  <r>
    <x v="9"/>
    <x v="0"/>
    <x v="0"/>
    <x v="0"/>
    <x v="15"/>
    <b v="0"/>
    <n v="3"/>
    <x v="0"/>
    <n v="0.18"/>
    <n v="0.19700000000000001"/>
    <n v="0.55000000000000004"/>
    <n v="0.1343"/>
    <n v="1"/>
    <n v="41"/>
    <x v="123"/>
  </r>
  <r>
    <x v="7"/>
    <x v="0"/>
    <x v="0"/>
    <x v="0"/>
    <x v="8"/>
    <b v="0"/>
    <n v="4"/>
    <x v="0"/>
    <n v="0.22"/>
    <n v="0.19700000000000001"/>
    <n v="0.41"/>
    <n v="0.3881"/>
    <n v="3"/>
    <n v="39"/>
    <x v="123"/>
  </r>
  <r>
    <x v="26"/>
    <x v="0"/>
    <x v="0"/>
    <x v="0"/>
    <x v="4"/>
    <b v="0"/>
    <n v="0"/>
    <x v="0"/>
    <n v="0.16"/>
    <n v="0.13639999999999999"/>
    <n v="0.43"/>
    <n v="0.32840000000000003"/>
    <n v="1"/>
    <n v="40"/>
    <x v="124"/>
  </r>
  <r>
    <x v="17"/>
    <x v="0"/>
    <x v="0"/>
    <x v="0"/>
    <x v="7"/>
    <b v="0"/>
    <n v="6"/>
    <x v="1"/>
    <n v="0.32"/>
    <n v="0.30299999999999999"/>
    <n v="0.39"/>
    <n v="0.25369999999999998"/>
    <n v="6"/>
    <n v="35"/>
    <x v="124"/>
  </r>
  <r>
    <x v="16"/>
    <x v="0"/>
    <x v="0"/>
    <x v="0"/>
    <x v="14"/>
    <b v="0"/>
    <n v="2"/>
    <x v="1"/>
    <n v="0.22"/>
    <n v="0.2424"/>
    <n v="0.93"/>
    <n v="0.1045"/>
    <n v="0"/>
    <n v="41"/>
    <x v="124"/>
  </r>
  <r>
    <x v="4"/>
    <x v="0"/>
    <x v="0"/>
    <x v="0"/>
    <x v="14"/>
    <b v="0"/>
    <n v="5"/>
    <x v="0"/>
    <n v="0.08"/>
    <n v="7.5800000000000006E-2"/>
    <n v="0.38"/>
    <n v="0.28360000000000002"/>
    <n v="0"/>
    <n v="41"/>
    <x v="124"/>
  </r>
  <r>
    <x v="27"/>
    <x v="0"/>
    <x v="0"/>
    <x v="0"/>
    <x v="12"/>
    <b v="0"/>
    <n v="3"/>
    <x v="2"/>
    <n v="0.22"/>
    <n v="0.19700000000000001"/>
    <n v="0.93"/>
    <n v="0.32840000000000003"/>
    <n v="6"/>
    <n v="35"/>
    <x v="124"/>
  </r>
  <r>
    <x v="14"/>
    <x v="0"/>
    <x v="0"/>
    <x v="0"/>
    <x v="5"/>
    <b v="0"/>
    <n v="5"/>
    <x v="1"/>
    <n v="0.2"/>
    <n v="0.2576"/>
    <n v="0.86"/>
    <n v="0"/>
    <n v="1"/>
    <n v="40"/>
    <x v="124"/>
  </r>
  <r>
    <x v="20"/>
    <x v="0"/>
    <x v="0"/>
    <x v="0"/>
    <x v="17"/>
    <b v="0"/>
    <n v="6"/>
    <x v="0"/>
    <n v="0.22"/>
    <n v="0.2727"/>
    <n v="0.8"/>
    <n v="0"/>
    <n v="8"/>
    <n v="32"/>
    <x v="125"/>
  </r>
  <r>
    <x v="7"/>
    <x v="0"/>
    <x v="0"/>
    <x v="0"/>
    <x v="14"/>
    <b v="0"/>
    <n v="4"/>
    <x v="0"/>
    <n v="0.14000000000000001"/>
    <n v="0.1212"/>
    <n v="0.46"/>
    <n v="0.29849999999999999"/>
    <n v="0"/>
    <n v="40"/>
    <x v="125"/>
  </r>
  <r>
    <x v="22"/>
    <x v="0"/>
    <x v="0"/>
    <x v="0"/>
    <x v="3"/>
    <b v="0"/>
    <n v="6"/>
    <x v="0"/>
    <n v="0.04"/>
    <n v="3.0300000000000001E-2"/>
    <n v="0.41"/>
    <n v="0.25369999999999998"/>
    <n v="3"/>
    <n v="37"/>
    <x v="125"/>
  </r>
  <r>
    <x v="11"/>
    <x v="0"/>
    <x v="0"/>
    <x v="0"/>
    <x v="13"/>
    <b v="0"/>
    <n v="1"/>
    <x v="0"/>
    <n v="0.1"/>
    <n v="0.13639999999999999"/>
    <n v="0.42"/>
    <n v="0"/>
    <n v="6"/>
    <n v="34"/>
    <x v="125"/>
  </r>
  <r>
    <x v="1"/>
    <x v="0"/>
    <x v="0"/>
    <x v="0"/>
    <x v="16"/>
    <b v="0"/>
    <n v="2"/>
    <x v="1"/>
    <n v="0.22"/>
    <n v="0.2273"/>
    <n v="0.64"/>
    <n v="0.16420000000000001"/>
    <n v="3"/>
    <n v="37"/>
    <x v="125"/>
  </r>
  <r>
    <x v="20"/>
    <x v="0"/>
    <x v="0"/>
    <x v="0"/>
    <x v="16"/>
    <b v="0"/>
    <n v="6"/>
    <x v="1"/>
    <n v="0.46"/>
    <m/>
    <n v="0.88"/>
    <n v="0.29849999999999999"/>
    <n v="15"/>
    <n v="24"/>
    <x v="126"/>
  </r>
  <r>
    <x v="6"/>
    <x v="0"/>
    <x v="0"/>
    <x v="0"/>
    <x v="14"/>
    <b v="0"/>
    <n v="5"/>
    <x v="0"/>
    <n v="0.18"/>
    <n v="0.19700000000000001"/>
    <n v="0.47"/>
    <n v="0.1343"/>
    <n v="0"/>
    <n v="39"/>
    <x v="126"/>
  </r>
  <r>
    <x v="15"/>
    <x v="0"/>
    <x v="0"/>
    <x v="0"/>
    <x v="13"/>
    <b v="0"/>
    <n v="3"/>
    <x v="0"/>
    <n v="0.18"/>
    <n v="0.18179999999999999"/>
    <n v="0.55000000000000004"/>
    <n v="0.22389999999999999"/>
    <n v="0"/>
    <n v="39"/>
    <x v="126"/>
  </r>
  <r>
    <x v="18"/>
    <x v="0"/>
    <x v="0"/>
    <x v="0"/>
    <x v="18"/>
    <b v="0"/>
    <n v="0"/>
    <x v="0"/>
    <n v="0.26"/>
    <n v="0.30299999999999999"/>
    <n v="0.56000000000000005"/>
    <n v="0"/>
    <n v="6"/>
    <n v="33"/>
    <x v="126"/>
  </r>
  <r>
    <x v="22"/>
    <x v="0"/>
    <x v="0"/>
    <x v="0"/>
    <x v="14"/>
    <b v="0"/>
    <n v="6"/>
    <x v="0"/>
    <n v="0.06"/>
    <n v="0.1061"/>
    <n v="0.41"/>
    <n v="8.9599999999999999E-2"/>
    <n v="0"/>
    <n v="39"/>
    <x v="126"/>
  </r>
  <r>
    <x v="26"/>
    <x v="0"/>
    <x v="0"/>
    <x v="0"/>
    <x v="7"/>
    <b v="0"/>
    <n v="0"/>
    <x v="0"/>
    <n v="0.14000000000000001"/>
    <n v="0.1212"/>
    <n v="0.46"/>
    <n v="0.25369999999999998"/>
    <n v="0"/>
    <n v="38"/>
    <x v="127"/>
  </r>
  <r>
    <x v="10"/>
    <x v="0"/>
    <x v="0"/>
    <x v="0"/>
    <x v="14"/>
    <b v="0"/>
    <n v="1"/>
    <x v="0"/>
    <n v="0.14000000000000001"/>
    <n v="0.13639999999999999"/>
    <n v="0.59"/>
    <n v="0.19400000000000001"/>
    <n v="1"/>
    <n v="37"/>
    <x v="127"/>
  </r>
  <r>
    <x v="7"/>
    <x v="0"/>
    <x v="0"/>
    <x v="0"/>
    <x v="13"/>
    <b v="0"/>
    <n v="4"/>
    <x v="1"/>
    <n v="0.16"/>
    <n v="0.13639999999999999"/>
    <n v="0.5"/>
    <n v="0.35820000000000002"/>
    <n v="2"/>
    <n v="36"/>
    <x v="127"/>
  </r>
  <r>
    <x v="21"/>
    <x v="0"/>
    <x v="0"/>
    <x v="0"/>
    <x v="14"/>
    <b v="0"/>
    <n v="4"/>
    <x v="0"/>
    <n v="0.18"/>
    <n v="0.21210000000000001"/>
    <n v="0.74"/>
    <n v="8.9599999999999999E-2"/>
    <n v="2"/>
    <n v="36"/>
    <x v="127"/>
  </r>
  <r>
    <x v="14"/>
    <x v="0"/>
    <x v="0"/>
    <x v="0"/>
    <x v="8"/>
    <b v="0"/>
    <n v="5"/>
    <x v="2"/>
    <n v="0.22"/>
    <n v="0.2727"/>
    <n v="0.8"/>
    <n v="0"/>
    <n v="2"/>
    <n v="36"/>
    <x v="127"/>
  </r>
  <r>
    <x v="20"/>
    <x v="0"/>
    <x v="0"/>
    <x v="0"/>
    <x v="4"/>
    <b v="0"/>
    <n v="6"/>
    <x v="2"/>
    <n v="0.42"/>
    <n v="0.42420000000000002"/>
    <n v="0.88"/>
    <n v="0.25369999999999998"/>
    <n v="6"/>
    <n v="31"/>
    <x v="128"/>
  </r>
  <r>
    <x v="23"/>
    <x v="0"/>
    <x v="0"/>
    <x v="0"/>
    <x v="14"/>
    <b v="0"/>
    <n v="6"/>
    <x v="0"/>
    <n v="0.12"/>
    <n v="0.1061"/>
    <n v="0.39"/>
    <n v="0.35820000000000002"/>
    <n v="2"/>
    <n v="35"/>
    <x v="128"/>
  </r>
  <r>
    <x v="7"/>
    <x v="0"/>
    <x v="0"/>
    <x v="0"/>
    <x v="12"/>
    <b v="0"/>
    <n v="4"/>
    <x v="1"/>
    <n v="0.2"/>
    <n v="0.16669999999999999"/>
    <n v="0.44"/>
    <n v="0.44779999999999998"/>
    <n v="4"/>
    <n v="33"/>
    <x v="128"/>
  </r>
  <r>
    <x v="20"/>
    <x v="0"/>
    <x v="0"/>
    <x v="0"/>
    <x v="13"/>
    <b v="0"/>
    <n v="6"/>
    <x v="0"/>
    <n v="0.38"/>
    <n v="0.39389999999999997"/>
    <n v="0.76"/>
    <n v="0.25369999999999998"/>
    <n v="12"/>
    <n v="24"/>
    <x v="129"/>
  </r>
  <r>
    <x v="20"/>
    <x v="0"/>
    <x v="0"/>
    <x v="0"/>
    <x v="7"/>
    <b v="0"/>
    <n v="6"/>
    <x v="1"/>
    <n v="0.4"/>
    <n v="0.40910000000000002"/>
    <n v="0.87"/>
    <n v="0.25369999999999998"/>
    <n v="11"/>
    <n v="25"/>
    <x v="129"/>
  </r>
  <r>
    <x v="5"/>
    <x v="0"/>
    <x v="0"/>
    <x v="0"/>
    <x v="19"/>
    <b v="0"/>
    <n v="2"/>
    <x v="0"/>
    <n v="0.12"/>
    <n v="0.1515"/>
    <n v="0.74"/>
    <n v="0.1045"/>
    <n v="0"/>
    <n v="36"/>
    <x v="129"/>
  </r>
  <r>
    <x v="2"/>
    <x v="0"/>
    <x v="0"/>
    <x v="0"/>
    <x v="19"/>
    <b v="0"/>
    <n v="4"/>
    <x v="1"/>
    <n v="0.14000000000000001"/>
    <n v="0.16669999999999999"/>
    <n v="0.63"/>
    <n v="0.1045"/>
    <n v="0"/>
    <n v="36"/>
    <x v="129"/>
  </r>
  <r>
    <x v="6"/>
    <x v="0"/>
    <x v="0"/>
    <x v="0"/>
    <x v="15"/>
    <b v="0"/>
    <n v="5"/>
    <x v="1"/>
    <n v="0.18"/>
    <n v="0.19700000000000001"/>
    <n v="0.43"/>
    <n v="0.16420000000000001"/>
    <n v="2"/>
    <n v="34"/>
    <x v="129"/>
  </r>
  <r>
    <x v="12"/>
    <x v="0"/>
    <x v="0"/>
    <x v="0"/>
    <x v="15"/>
    <b v="0"/>
    <n v="5"/>
    <x v="1"/>
    <n v="0.16"/>
    <n v="0.2273"/>
    <n v="0.69"/>
    <n v="0"/>
    <n v="2"/>
    <n v="34"/>
    <x v="129"/>
  </r>
  <r>
    <x v="1"/>
    <x v="0"/>
    <x v="0"/>
    <x v="0"/>
    <x v="19"/>
    <b v="0"/>
    <n v="2"/>
    <x v="0"/>
    <n v="0.16"/>
    <n v="0.18179999999999999"/>
    <n v="0.74"/>
    <n v="0.1045"/>
    <n v="1"/>
    <n v="35"/>
    <x v="129"/>
  </r>
  <r>
    <x v="27"/>
    <x v="0"/>
    <x v="0"/>
    <x v="0"/>
    <x v="8"/>
    <b v="0"/>
    <n v="3"/>
    <x v="2"/>
    <n v="0.22"/>
    <n v="0.19700000000000001"/>
    <n v="0.93"/>
    <n v="0.35820000000000002"/>
    <n v="0"/>
    <n v="36"/>
    <x v="129"/>
  </r>
  <r>
    <x v="27"/>
    <x v="0"/>
    <x v="0"/>
    <x v="0"/>
    <x v="6"/>
    <b v="0"/>
    <n v="3"/>
    <x v="3"/>
    <n v="0.22"/>
    <n v="0.19700000000000001"/>
    <n v="0.93"/>
    <n v="0.32840000000000003"/>
    <n v="1"/>
    <n v="35"/>
    <x v="129"/>
  </r>
  <r>
    <x v="20"/>
    <x v="0"/>
    <x v="0"/>
    <x v="0"/>
    <x v="1"/>
    <b v="0"/>
    <n v="6"/>
    <x v="2"/>
    <n v="0.42"/>
    <n v="0.42420000000000002"/>
    <n v="0.88"/>
    <n v="0.25369999999999998"/>
    <n v="9"/>
    <n v="26"/>
    <x v="130"/>
  </r>
  <r>
    <x v="5"/>
    <x v="0"/>
    <x v="0"/>
    <x v="0"/>
    <x v="15"/>
    <b v="0"/>
    <n v="2"/>
    <x v="0"/>
    <n v="0.22"/>
    <n v="0.2576"/>
    <n v="0.64"/>
    <n v="8.9599999999999999E-2"/>
    <n v="1"/>
    <n v="34"/>
    <x v="130"/>
  </r>
  <r>
    <x v="3"/>
    <x v="0"/>
    <x v="0"/>
    <x v="0"/>
    <x v="12"/>
    <b v="0"/>
    <n v="2"/>
    <x v="1"/>
    <n v="0.2"/>
    <n v="0.21210000000000001"/>
    <n v="0.47"/>
    <n v="0.1343"/>
    <n v="4"/>
    <n v="31"/>
    <x v="130"/>
  </r>
  <r>
    <x v="15"/>
    <x v="0"/>
    <x v="0"/>
    <x v="0"/>
    <x v="12"/>
    <b v="0"/>
    <n v="3"/>
    <x v="0"/>
    <n v="0.2"/>
    <n v="0.18179999999999999"/>
    <n v="0.51"/>
    <n v="0.3881"/>
    <n v="3"/>
    <n v="32"/>
    <x v="130"/>
  </r>
  <r>
    <x v="16"/>
    <x v="0"/>
    <x v="0"/>
    <x v="0"/>
    <x v="5"/>
    <b v="0"/>
    <n v="2"/>
    <x v="1"/>
    <n v="0.22"/>
    <n v="0.2273"/>
    <n v="0.87"/>
    <n v="0.16420000000000001"/>
    <n v="3"/>
    <n v="32"/>
    <x v="130"/>
  </r>
  <r>
    <x v="0"/>
    <x v="0"/>
    <x v="0"/>
    <x v="0"/>
    <x v="19"/>
    <b v="0"/>
    <n v="4"/>
    <x v="0"/>
    <n v="0.22"/>
    <n v="0.21210000000000001"/>
    <n v="0.6"/>
    <n v="0.22389999999999999"/>
    <n v="0"/>
    <n v="35"/>
    <x v="130"/>
  </r>
  <r>
    <x v="19"/>
    <x v="0"/>
    <x v="0"/>
    <x v="0"/>
    <x v="7"/>
    <b v="0"/>
    <n v="0"/>
    <x v="0"/>
    <n v="0.1"/>
    <n v="0.1061"/>
    <n v="0.36"/>
    <n v="0.25369999999999998"/>
    <n v="4"/>
    <n v="31"/>
    <x v="130"/>
  </r>
  <r>
    <x v="11"/>
    <x v="0"/>
    <x v="0"/>
    <x v="0"/>
    <x v="15"/>
    <b v="0"/>
    <n v="1"/>
    <x v="1"/>
    <n v="0.14000000000000001"/>
    <n v="0.13639999999999999"/>
    <n v="0.63"/>
    <n v="0.22389999999999999"/>
    <n v="3"/>
    <n v="32"/>
    <x v="130"/>
  </r>
  <r>
    <x v="20"/>
    <x v="0"/>
    <x v="0"/>
    <x v="0"/>
    <x v="14"/>
    <b v="0"/>
    <n v="6"/>
    <x v="1"/>
    <n v="0.4"/>
    <n v="0.40910000000000002"/>
    <n v="0.87"/>
    <n v="0.19400000000000001"/>
    <n v="3"/>
    <n v="31"/>
    <x v="131"/>
  </r>
  <r>
    <x v="6"/>
    <x v="0"/>
    <x v="0"/>
    <x v="0"/>
    <x v="19"/>
    <b v="0"/>
    <n v="5"/>
    <x v="1"/>
    <n v="0.2"/>
    <n v="0.2576"/>
    <n v="0.69"/>
    <n v="0"/>
    <n v="8"/>
    <n v="26"/>
    <x v="131"/>
  </r>
  <r>
    <x v="23"/>
    <x v="0"/>
    <x v="0"/>
    <x v="0"/>
    <x v="15"/>
    <b v="0"/>
    <n v="6"/>
    <x v="0"/>
    <n v="0.12"/>
    <n v="0.1061"/>
    <n v="0.36"/>
    <n v="0.3881"/>
    <n v="1"/>
    <n v="33"/>
    <x v="131"/>
  </r>
  <r>
    <x v="4"/>
    <x v="0"/>
    <x v="0"/>
    <x v="0"/>
    <x v="15"/>
    <b v="0"/>
    <n v="5"/>
    <x v="0"/>
    <n v="0.06"/>
    <n v="3.0300000000000001E-2"/>
    <n v="0.41"/>
    <n v="0.3881"/>
    <n v="1"/>
    <n v="33"/>
    <x v="131"/>
  </r>
  <r>
    <x v="9"/>
    <x v="0"/>
    <x v="0"/>
    <x v="0"/>
    <x v="19"/>
    <b v="0"/>
    <n v="3"/>
    <x v="0"/>
    <n v="0.2"/>
    <n v="0.19700000000000001"/>
    <n v="0.47"/>
    <n v="0.22389999999999999"/>
    <n v="0"/>
    <n v="33"/>
    <x v="132"/>
  </r>
  <r>
    <x v="15"/>
    <x v="0"/>
    <x v="0"/>
    <x v="0"/>
    <x v="15"/>
    <b v="0"/>
    <n v="3"/>
    <x v="0"/>
    <n v="0.16"/>
    <n v="0.1212"/>
    <n v="0.55000000000000004"/>
    <n v="0.44779999999999998"/>
    <n v="1"/>
    <n v="32"/>
    <x v="132"/>
  </r>
  <r>
    <x v="17"/>
    <x v="0"/>
    <x v="0"/>
    <x v="0"/>
    <x v="3"/>
    <b v="0"/>
    <n v="6"/>
    <x v="0"/>
    <n v="0.16"/>
    <n v="0.18179999999999999"/>
    <n v="0.64"/>
    <n v="0.1343"/>
    <n v="2"/>
    <n v="31"/>
    <x v="132"/>
  </r>
  <r>
    <x v="25"/>
    <x v="0"/>
    <x v="0"/>
    <x v="0"/>
    <x v="0"/>
    <b v="1"/>
    <n v="1"/>
    <x v="1"/>
    <n v="0.16"/>
    <n v="0.1515"/>
    <n v="0.47"/>
    <n v="0.22389999999999999"/>
    <n v="3"/>
    <n v="30"/>
    <x v="132"/>
  </r>
  <r>
    <x v="25"/>
    <x v="0"/>
    <x v="0"/>
    <x v="0"/>
    <x v="7"/>
    <b v="1"/>
    <n v="1"/>
    <x v="2"/>
    <n v="0.16"/>
    <n v="0.1515"/>
    <n v="0.8"/>
    <n v="0.19400000000000001"/>
    <n v="4"/>
    <n v="29"/>
    <x v="132"/>
  </r>
  <r>
    <x v="16"/>
    <x v="0"/>
    <x v="0"/>
    <x v="0"/>
    <x v="15"/>
    <b v="0"/>
    <n v="2"/>
    <x v="1"/>
    <n v="0.22"/>
    <n v="0.2576"/>
    <n v="0.93"/>
    <n v="8.9599999999999999E-2"/>
    <n v="0"/>
    <n v="33"/>
    <x v="132"/>
  </r>
  <r>
    <x v="22"/>
    <x v="0"/>
    <x v="0"/>
    <x v="0"/>
    <x v="16"/>
    <b v="0"/>
    <n v="6"/>
    <x v="0"/>
    <n v="0.04"/>
    <n v="7.5800000000000006E-2"/>
    <n v="0.56999999999999995"/>
    <n v="0.1045"/>
    <n v="2"/>
    <n v="31"/>
    <x v="132"/>
  </r>
  <r>
    <x v="20"/>
    <x v="0"/>
    <x v="0"/>
    <x v="0"/>
    <x v="20"/>
    <b v="0"/>
    <n v="6"/>
    <x v="0"/>
    <n v="0.22"/>
    <n v="0.2727"/>
    <n v="0.8"/>
    <n v="0"/>
    <n v="5"/>
    <n v="27"/>
    <x v="133"/>
  </r>
  <r>
    <x v="3"/>
    <x v="0"/>
    <x v="0"/>
    <x v="0"/>
    <x v="7"/>
    <b v="0"/>
    <n v="2"/>
    <x v="2"/>
    <n v="0.16"/>
    <n v="0.1515"/>
    <n v="0.93"/>
    <n v="0.19400000000000001"/>
    <n v="0"/>
    <n v="32"/>
    <x v="133"/>
  </r>
  <r>
    <x v="18"/>
    <x v="0"/>
    <x v="0"/>
    <x v="0"/>
    <x v="3"/>
    <b v="0"/>
    <n v="0"/>
    <x v="0"/>
    <n v="0.22"/>
    <n v="0.21210000000000001"/>
    <n v="0.51"/>
    <n v="0.25369999999999998"/>
    <n v="3"/>
    <n v="29"/>
    <x v="133"/>
  </r>
  <r>
    <x v="8"/>
    <x v="0"/>
    <x v="0"/>
    <x v="0"/>
    <x v="19"/>
    <b v="0"/>
    <n v="3"/>
    <x v="1"/>
    <n v="0.22"/>
    <n v="0.2576"/>
    <n v="0.93"/>
    <n v="8.9599999999999999E-2"/>
    <n v="0"/>
    <n v="32"/>
    <x v="133"/>
  </r>
  <r>
    <x v="24"/>
    <x v="0"/>
    <x v="0"/>
    <x v="0"/>
    <x v="14"/>
    <b v="0"/>
    <n v="0"/>
    <x v="0"/>
    <n v="0.26"/>
    <n v="0.2273"/>
    <n v="0.44"/>
    <n v="0.32840000000000003"/>
    <n v="11"/>
    <n v="20"/>
    <x v="134"/>
  </r>
  <r>
    <x v="10"/>
    <x v="0"/>
    <x v="0"/>
    <x v="0"/>
    <x v="19"/>
    <b v="0"/>
    <n v="1"/>
    <x v="0"/>
    <n v="0.12"/>
    <n v="0.1212"/>
    <n v="0.5"/>
    <n v="0.28360000000000002"/>
    <n v="0"/>
    <n v="31"/>
    <x v="134"/>
  </r>
  <r>
    <x v="10"/>
    <x v="0"/>
    <x v="0"/>
    <x v="0"/>
    <x v="13"/>
    <b v="0"/>
    <n v="1"/>
    <x v="1"/>
    <n v="0.14000000000000001"/>
    <n v="0.1212"/>
    <n v="0.5"/>
    <n v="0.29849999999999999"/>
    <n v="0"/>
    <n v="31"/>
    <x v="134"/>
  </r>
  <r>
    <x v="0"/>
    <x v="0"/>
    <x v="0"/>
    <x v="0"/>
    <x v="16"/>
    <b v="0"/>
    <n v="4"/>
    <x v="1"/>
    <n v="0.24"/>
    <n v="0.21210000000000001"/>
    <n v="0.65"/>
    <n v="0.32840000000000003"/>
    <n v="3"/>
    <n v="28"/>
    <x v="134"/>
  </r>
  <r>
    <x v="14"/>
    <x v="0"/>
    <x v="0"/>
    <x v="0"/>
    <x v="9"/>
    <b v="0"/>
    <n v="5"/>
    <x v="2"/>
    <n v="0.18"/>
    <n v="0.21210000000000001"/>
    <n v="0.93"/>
    <n v="0.1045"/>
    <n v="0"/>
    <n v="31"/>
    <x v="134"/>
  </r>
  <r>
    <x v="24"/>
    <x v="0"/>
    <x v="0"/>
    <x v="0"/>
    <x v="4"/>
    <b v="0"/>
    <n v="0"/>
    <x v="0"/>
    <n v="0.32"/>
    <n v="0.28789999999999999"/>
    <n v="0.42"/>
    <n v="0.44779999999999998"/>
    <n v="1"/>
    <n v="29"/>
    <x v="135"/>
  </r>
  <r>
    <x v="13"/>
    <x v="0"/>
    <x v="0"/>
    <x v="0"/>
    <x v="19"/>
    <b v="0"/>
    <n v="1"/>
    <x v="0"/>
    <n v="0.14000000000000001"/>
    <n v="0.1061"/>
    <n v="0.5"/>
    <n v="0.3881"/>
    <n v="0"/>
    <n v="30"/>
    <x v="135"/>
  </r>
  <r>
    <x v="23"/>
    <x v="0"/>
    <x v="0"/>
    <x v="0"/>
    <x v="4"/>
    <b v="0"/>
    <n v="6"/>
    <x v="0"/>
    <n v="0.14000000000000001"/>
    <n v="0.1212"/>
    <n v="0.36"/>
    <n v="0.25369999999999998"/>
    <n v="4"/>
    <n v="26"/>
    <x v="135"/>
  </r>
  <r>
    <x v="10"/>
    <x v="0"/>
    <x v="0"/>
    <x v="0"/>
    <x v="12"/>
    <b v="0"/>
    <n v="1"/>
    <x v="1"/>
    <n v="0.16"/>
    <n v="0.13639999999999999"/>
    <n v="0.47"/>
    <n v="0.28360000000000002"/>
    <n v="2"/>
    <n v="28"/>
    <x v="135"/>
  </r>
  <r>
    <x v="7"/>
    <x v="0"/>
    <x v="0"/>
    <x v="0"/>
    <x v="15"/>
    <b v="0"/>
    <n v="4"/>
    <x v="0"/>
    <n v="0.14000000000000001"/>
    <n v="0.1212"/>
    <n v="0.46"/>
    <n v="0.32840000000000003"/>
    <n v="0"/>
    <n v="30"/>
    <x v="135"/>
  </r>
  <r>
    <x v="22"/>
    <x v="0"/>
    <x v="0"/>
    <x v="0"/>
    <x v="15"/>
    <b v="0"/>
    <n v="6"/>
    <x v="0"/>
    <n v="0.06"/>
    <n v="0.1515"/>
    <n v="0.49"/>
    <n v="0"/>
    <n v="7"/>
    <n v="23"/>
    <x v="135"/>
  </r>
  <r>
    <x v="27"/>
    <x v="0"/>
    <x v="0"/>
    <x v="0"/>
    <x v="11"/>
    <b v="0"/>
    <n v="3"/>
    <x v="2"/>
    <n v="0.22"/>
    <n v="0.21210000000000001"/>
    <n v="0.87"/>
    <n v="0.29849999999999999"/>
    <n v="1"/>
    <n v="29"/>
    <x v="135"/>
  </r>
  <r>
    <x v="14"/>
    <x v="0"/>
    <x v="0"/>
    <x v="0"/>
    <x v="12"/>
    <b v="0"/>
    <n v="5"/>
    <x v="2"/>
    <n v="0.18"/>
    <n v="0.21210000000000001"/>
    <n v="0.93"/>
    <n v="0.1045"/>
    <n v="0"/>
    <n v="30"/>
    <x v="135"/>
  </r>
  <r>
    <x v="3"/>
    <x v="0"/>
    <x v="0"/>
    <x v="0"/>
    <x v="15"/>
    <b v="0"/>
    <n v="2"/>
    <x v="2"/>
    <n v="0.16"/>
    <n v="0.18179999999999999"/>
    <n v="0.93"/>
    <n v="0.1045"/>
    <n v="1"/>
    <n v="28"/>
    <x v="136"/>
  </r>
  <r>
    <x v="14"/>
    <x v="0"/>
    <x v="0"/>
    <x v="0"/>
    <x v="10"/>
    <b v="0"/>
    <n v="5"/>
    <x v="2"/>
    <n v="0.18"/>
    <n v="0.21210000000000001"/>
    <n v="0.93"/>
    <n v="0.1045"/>
    <n v="1"/>
    <n v="28"/>
    <x v="136"/>
  </r>
  <r>
    <x v="20"/>
    <x v="0"/>
    <x v="0"/>
    <x v="0"/>
    <x v="15"/>
    <b v="0"/>
    <n v="6"/>
    <x v="1"/>
    <n v="0.4"/>
    <n v="0.40910000000000002"/>
    <n v="0.94"/>
    <n v="0.22389999999999999"/>
    <n v="11"/>
    <n v="17"/>
    <x v="137"/>
  </r>
  <r>
    <x v="23"/>
    <x v="0"/>
    <x v="0"/>
    <x v="0"/>
    <x v="7"/>
    <b v="0"/>
    <n v="6"/>
    <x v="0"/>
    <n v="0.12"/>
    <n v="0.1212"/>
    <n v="0.36"/>
    <n v="0.25369999999999998"/>
    <n v="0"/>
    <n v="28"/>
    <x v="137"/>
  </r>
  <r>
    <x v="7"/>
    <x v="0"/>
    <x v="0"/>
    <x v="0"/>
    <x v="19"/>
    <b v="0"/>
    <n v="4"/>
    <x v="0"/>
    <n v="0.12"/>
    <n v="0.1515"/>
    <n v="0.54"/>
    <n v="0.1343"/>
    <n v="0"/>
    <n v="28"/>
    <x v="137"/>
  </r>
  <r>
    <x v="17"/>
    <x v="0"/>
    <x v="0"/>
    <x v="0"/>
    <x v="18"/>
    <b v="0"/>
    <n v="6"/>
    <x v="0"/>
    <n v="0.18"/>
    <n v="0.2424"/>
    <n v="0.55000000000000004"/>
    <n v="0"/>
    <n v="3"/>
    <n v="25"/>
    <x v="137"/>
  </r>
  <r>
    <x v="18"/>
    <x v="0"/>
    <x v="0"/>
    <x v="0"/>
    <x v="14"/>
    <b v="0"/>
    <n v="0"/>
    <x v="0"/>
    <n v="0.18"/>
    <n v="0.19700000000000001"/>
    <n v="0.51"/>
    <n v="0.16420000000000001"/>
    <n v="6"/>
    <n v="22"/>
    <x v="137"/>
  </r>
  <r>
    <x v="16"/>
    <x v="0"/>
    <x v="0"/>
    <x v="0"/>
    <x v="8"/>
    <b v="0"/>
    <n v="2"/>
    <x v="1"/>
    <n v="0.22"/>
    <n v="0.2273"/>
    <n v="0.8"/>
    <n v="0.16420000000000001"/>
    <n v="2"/>
    <n v="26"/>
    <x v="137"/>
  </r>
  <r>
    <x v="8"/>
    <x v="0"/>
    <x v="0"/>
    <x v="0"/>
    <x v="16"/>
    <b v="0"/>
    <n v="3"/>
    <x v="0"/>
    <n v="0.3"/>
    <n v="0.2727"/>
    <n v="0.52"/>
    <n v="0.4627"/>
    <n v="1"/>
    <n v="27"/>
    <x v="137"/>
  </r>
  <r>
    <x v="19"/>
    <x v="0"/>
    <x v="0"/>
    <x v="0"/>
    <x v="3"/>
    <b v="0"/>
    <n v="0"/>
    <x v="0"/>
    <n v="0.1"/>
    <n v="7.5800000000000006E-2"/>
    <n v="0.54"/>
    <n v="0.35820000000000002"/>
    <n v="3"/>
    <n v="25"/>
    <x v="137"/>
  </r>
  <r>
    <x v="19"/>
    <x v="0"/>
    <x v="0"/>
    <x v="0"/>
    <x v="15"/>
    <b v="0"/>
    <n v="0"/>
    <x v="0"/>
    <n v="0.08"/>
    <n v="9.0899999999999995E-2"/>
    <n v="0.38"/>
    <n v="0.19400000000000001"/>
    <n v="5"/>
    <n v="23"/>
    <x v="137"/>
  </r>
  <r>
    <x v="27"/>
    <x v="0"/>
    <x v="0"/>
    <x v="0"/>
    <x v="13"/>
    <b v="0"/>
    <n v="3"/>
    <x v="2"/>
    <n v="0.22"/>
    <n v="0.21210000000000001"/>
    <n v="0.93"/>
    <n v="0.28360000000000002"/>
    <n v="2"/>
    <n v="26"/>
    <x v="137"/>
  </r>
  <r>
    <x v="3"/>
    <x v="0"/>
    <x v="0"/>
    <x v="0"/>
    <x v="19"/>
    <b v="0"/>
    <n v="2"/>
    <x v="1"/>
    <n v="0.16"/>
    <n v="0.18179999999999999"/>
    <n v="0.55000000000000004"/>
    <n v="0.1343"/>
    <n v="0"/>
    <n v="27"/>
    <x v="138"/>
  </r>
  <r>
    <x v="12"/>
    <x v="0"/>
    <x v="0"/>
    <x v="0"/>
    <x v="16"/>
    <b v="0"/>
    <n v="5"/>
    <x v="1"/>
    <n v="0.18"/>
    <n v="0.2424"/>
    <n v="0.55000000000000004"/>
    <n v="0"/>
    <n v="1"/>
    <n v="26"/>
    <x v="138"/>
  </r>
  <r>
    <x v="25"/>
    <x v="0"/>
    <x v="0"/>
    <x v="0"/>
    <x v="14"/>
    <b v="1"/>
    <n v="1"/>
    <x v="2"/>
    <n v="0.16"/>
    <n v="0.1515"/>
    <n v="0.8"/>
    <n v="0.19400000000000001"/>
    <n v="3"/>
    <n v="24"/>
    <x v="138"/>
  </r>
  <r>
    <x v="4"/>
    <x v="0"/>
    <x v="0"/>
    <x v="0"/>
    <x v="19"/>
    <b v="0"/>
    <n v="5"/>
    <x v="0"/>
    <n v="0.22"/>
    <n v="0.21210000000000001"/>
    <n v="0.55000000000000004"/>
    <n v="0.25369999999999998"/>
    <n v="0"/>
    <n v="27"/>
    <x v="138"/>
  </r>
  <r>
    <x v="4"/>
    <x v="0"/>
    <x v="0"/>
    <x v="0"/>
    <x v="16"/>
    <b v="0"/>
    <n v="5"/>
    <x v="0"/>
    <n v="0.06"/>
    <n v="4.5499999999999999E-2"/>
    <n v="0.38"/>
    <n v="0.32840000000000003"/>
    <n v="0"/>
    <n v="27"/>
    <x v="138"/>
  </r>
  <r>
    <x v="22"/>
    <x v="0"/>
    <x v="0"/>
    <x v="0"/>
    <x v="0"/>
    <b v="0"/>
    <n v="6"/>
    <x v="0"/>
    <n v="0.02"/>
    <n v="0"/>
    <n v="0.44"/>
    <n v="0.32840000000000003"/>
    <n v="1"/>
    <n v="26"/>
    <x v="138"/>
  </r>
  <r>
    <x v="21"/>
    <x v="0"/>
    <x v="0"/>
    <x v="0"/>
    <x v="15"/>
    <b v="0"/>
    <n v="4"/>
    <x v="0"/>
    <n v="0.18"/>
    <n v="0.21210000000000001"/>
    <n v="0.74"/>
    <n v="8.9599999999999999E-2"/>
    <n v="0"/>
    <n v="27"/>
    <x v="138"/>
  </r>
  <r>
    <x v="17"/>
    <x v="0"/>
    <x v="0"/>
    <x v="0"/>
    <x v="15"/>
    <b v="0"/>
    <n v="6"/>
    <x v="1"/>
    <n v="0.3"/>
    <n v="0.31819999999999998"/>
    <n v="0.42"/>
    <n v="0.1045"/>
    <n v="0"/>
    <n v="26"/>
    <x v="139"/>
  </r>
  <r>
    <x v="27"/>
    <x v="0"/>
    <x v="0"/>
    <x v="0"/>
    <x v="2"/>
    <b v="0"/>
    <n v="3"/>
    <x v="2"/>
    <n v="0.2"/>
    <n v="0.18179999999999999"/>
    <n v="0.93"/>
    <n v="0.35820000000000002"/>
    <n v="0"/>
    <n v="26"/>
    <x v="139"/>
  </r>
  <r>
    <x v="23"/>
    <x v="0"/>
    <x v="0"/>
    <x v="0"/>
    <x v="18"/>
    <b v="0"/>
    <n v="6"/>
    <x v="1"/>
    <n v="0.18"/>
    <n v="0.19700000000000001"/>
    <n v="0.51"/>
    <n v="0.16420000000000001"/>
    <n v="1"/>
    <n v="24"/>
    <x v="140"/>
  </r>
  <r>
    <x v="26"/>
    <x v="0"/>
    <x v="0"/>
    <x v="0"/>
    <x v="18"/>
    <b v="0"/>
    <n v="0"/>
    <x v="0"/>
    <n v="0.1"/>
    <n v="7.5800000000000006E-2"/>
    <n v="0.42"/>
    <n v="0.3881"/>
    <n v="1"/>
    <n v="24"/>
    <x v="140"/>
  </r>
  <r>
    <x v="19"/>
    <x v="0"/>
    <x v="0"/>
    <x v="0"/>
    <x v="14"/>
    <b v="0"/>
    <n v="0"/>
    <x v="0"/>
    <n v="0.1"/>
    <n v="0.1061"/>
    <n v="0.36"/>
    <n v="0.19400000000000001"/>
    <n v="5"/>
    <n v="20"/>
    <x v="140"/>
  </r>
  <r>
    <x v="10"/>
    <x v="0"/>
    <x v="0"/>
    <x v="0"/>
    <x v="15"/>
    <b v="0"/>
    <n v="1"/>
    <x v="0"/>
    <n v="0.14000000000000001"/>
    <n v="0.1515"/>
    <n v="0.59"/>
    <n v="0.16420000000000001"/>
    <n v="2"/>
    <n v="22"/>
    <x v="141"/>
  </r>
  <r>
    <x v="11"/>
    <x v="0"/>
    <x v="0"/>
    <x v="0"/>
    <x v="16"/>
    <b v="0"/>
    <n v="1"/>
    <x v="1"/>
    <n v="0.16"/>
    <n v="0.1515"/>
    <n v="0.64"/>
    <n v="0.25369999999999998"/>
    <n v="3"/>
    <n v="21"/>
    <x v="141"/>
  </r>
  <r>
    <x v="21"/>
    <x v="0"/>
    <x v="0"/>
    <x v="0"/>
    <x v="6"/>
    <b v="0"/>
    <n v="4"/>
    <x v="0"/>
    <n v="0.22"/>
    <n v="0.2273"/>
    <n v="0.55000000000000004"/>
    <n v="0.19400000000000001"/>
    <n v="1"/>
    <n v="23"/>
    <x v="141"/>
  </r>
  <r>
    <x v="2"/>
    <x v="0"/>
    <x v="0"/>
    <x v="0"/>
    <x v="16"/>
    <b v="0"/>
    <n v="4"/>
    <x v="1"/>
    <n v="0.2"/>
    <n v="0.19700000000000001"/>
    <n v="0.59"/>
    <n v="0.19400000000000001"/>
    <n v="4"/>
    <n v="19"/>
    <x v="142"/>
  </r>
  <r>
    <x v="17"/>
    <x v="0"/>
    <x v="0"/>
    <x v="0"/>
    <x v="0"/>
    <b v="0"/>
    <n v="6"/>
    <x v="0"/>
    <n v="0.14000000000000001"/>
    <n v="0.1515"/>
    <n v="0.63"/>
    <n v="0.1343"/>
    <n v="1"/>
    <n v="22"/>
    <x v="142"/>
  </r>
  <r>
    <x v="18"/>
    <x v="0"/>
    <x v="0"/>
    <x v="0"/>
    <x v="17"/>
    <b v="0"/>
    <n v="0"/>
    <x v="0"/>
    <n v="0.26"/>
    <n v="0.2727"/>
    <n v="0.56000000000000005"/>
    <n v="0.1343"/>
    <n v="4"/>
    <n v="19"/>
    <x v="142"/>
  </r>
  <r>
    <x v="24"/>
    <x v="0"/>
    <x v="0"/>
    <x v="0"/>
    <x v="7"/>
    <b v="0"/>
    <n v="0"/>
    <x v="0"/>
    <n v="0.3"/>
    <m/>
    <n v="0.39"/>
    <n v="0.35820000000000002"/>
    <n v="5"/>
    <n v="17"/>
    <x v="143"/>
  </r>
  <r>
    <x v="23"/>
    <x v="0"/>
    <x v="0"/>
    <x v="0"/>
    <x v="16"/>
    <b v="0"/>
    <n v="6"/>
    <x v="0"/>
    <n v="0.1"/>
    <n v="6.0600000000000001E-2"/>
    <n v="0.39"/>
    <n v="0.44779999999999998"/>
    <n v="0"/>
    <n v="22"/>
    <x v="143"/>
  </r>
  <r>
    <x v="16"/>
    <x v="0"/>
    <x v="0"/>
    <x v="0"/>
    <x v="9"/>
    <b v="0"/>
    <n v="2"/>
    <x v="1"/>
    <n v="0.2"/>
    <n v="0.19700000000000001"/>
    <n v="0.86"/>
    <n v="0.22389999999999999"/>
    <n v="0"/>
    <n v="22"/>
    <x v="143"/>
  </r>
  <r>
    <x v="19"/>
    <x v="0"/>
    <x v="0"/>
    <x v="0"/>
    <x v="18"/>
    <b v="0"/>
    <n v="0"/>
    <x v="0"/>
    <n v="0.04"/>
    <n v="7.5800000000000006E-2"/>
    <n v="0.56999999999999995"/>
    <n v="0.1045"/>
    <n v="2"/>
    <n v="20"/>
    <x v="143"/>
  </r>
  <r>
    <x v="18"/>
    <x v="0"/>
    <x v="0"/>
    <x v="0"/>
    <x v="15"/>
    <b v="0"/>
    <n v="0"/>
    <x v="1"/>
    <n v="0.2"/>
    <n v="0.21210000000000001"/>
    <n v="0.49"/>
    <n v="0.1343"/>
    <n v="2"/>
    <n v="19"/>
    <x v="144"/>
  </r>
  <r>
    <x v="4"/>
    <x v="0"/>
    <x v="0"/>
    <x v="0"/>
    <x v="18"/>
    <b v="0"/>
    <n v="5"/>
    <x v="1"/>
    <n v="0.24"/>
    <n v="0.2273"/>
    <n v="0.7"/>
    <n v="0.25369999999999998"/>
    <n v="1"/>
    <n v="20"/>
    <x v="144"/>
  </r>
  <r>
    <x v="19"/>
    <x v="0"/>
    <x v="0"/>
    <x v="0"/>
    <x v="16"/>
    <b v="0"/>
    <n v="0"/>
    <x v="0"/>
    <n v="0.06"/>
    <n v="6.0600000000000001E-2"/>
    <n v="0.41"/>
    <n v="0.22389999999999999"/>
    <n v="4"/>
    <n v="17"/>
    <x v="144"/>
  </r>
  <r>
    <x v="24"/>
    <x v="0"/>
    <x v="0"/>
    <x v="0"/>
    <x v="3"/>
    <b v="0"/>
    <n v="0"/>
    <x v="1"/>
    <n v="0.38"/>
    <m/>
    <n v="0.76"/>
    <n v="0.22389999999999999"/>
    <n v="1"/>
    <n v="19"/>
    <x v="145"/>
  </r>
  <r>
    <x v="13"/>
    <x v="0"/>
    <x v="0"/>
    <x v="0"/>
    <x v="15"/>
    <b v="0"/>
    <n v="1"/>
    <x v="0"/>
    <n v="0.14000000000000001"/>
    <n v="0.1515"/>
    <n v="0.69"/>
    <n v="0.1343"/>
    <n v="0"/>
    <n v="20"/>
    <x v="145"/>
  </r>
  <r>
    <x v="23"/>
    <x v="0"/>
    <x v="0"/>
    <x v="0"/>
    <x v="3"/>
    <b v="0"/>
    <n v="6"/>
    <x v="2"/>
    <n v="0.16"/>
    <n v="0.18179999999999999"/>
    <n v="0.93"/>
    <n v="0.1045"/>
    <n v="0"/>
    <n v="20"/>
    <x v="145"/>
  </r>
  <r>
    <x v="26"/>
    <x v="0"/>
    <x v="0"/>
    <x v="0"/>
    <x v="14"/>
    <b v="0"/>
    <n v="0"/>
    <x v="0"/>
    <n v="0.14000000000000001"/>
    <n v="0.1061"/>
    <n v="0.46"/>
    <n v="0.41789999999999999"/>
    <n v="1"/>
    <n v="19"/>
    <x v="145"/>
  </r>
  <r>
    <x v="3"/>
    <x v="0"/>
    <x v="0"/>
    <x v="0"/>
    <x v="14"/>
    <b v="0"/>
    <n v="2"/>
    <x v="2"/>
    <n v="0.16"/>
    <n v="0.19700000000000001"/>
    <n v="0.86"/>
    <n v="8.9599999999999999E-2"/>
    <n v="0"/>
    <n v="20"/>
    <x v="145"/>
  </r>
  <r>
    <x v="15"/>
    <x v="0"/>
    <x v="0"/>
    <x v="0"/>
    <x v="16"/>
    <b v="0"/>
    <n v="3"/>
    <x v="0"/>
    <n v="0.14000000000000001"/>
    <n v="0.1061"/>
    <n v="0.59"/>
    <n v="0.41789999999999999"/>
    <n v="1"/>
    <n v="19"/>
    <x v="145"/>
  </r>
  <r>
    <x v="17"/>
    <x v="0"/>
    <x v="0"/>
    <x v="0"/>
    <x v="17"/>
    <b v="0"/>
    <n v="6"/>
    <x v="1"/>
    <n v="0.16"/>
    <n v="0.19700000000000001"/>
    <n v="0.59"/>
    <n v="8.9599999999999999E-2"/>
    <n v="2"/>
    <n v="18"/>
    <x v="145"/>
  </r>
  <r>
    <x v="16"/>
    <x v="0"/>
    <x v="0"/>
    <x v="0"/>
    <x v="16"/>
    <b v="0"/>
    <n v="2"/>
    <x v="1"/>
    <n v="0.22"/>
    <n v="0.2727"/>
    <n v="0.93"/>
    <n v="0"/>
    <n v="1"/>
    <n v="19"/>
    <x v="145"/>
  </r>
  <r>
    <x v="9"/>
    <x v="0"/>
    <x v="0"/>
    <x v="0"/>
    <x v="16"/>
    <b v="0"/>
    <n v="3"/>
    <x v="0"/>
    <n v="0.2"/>
    <n v="0.2576"/>
    <n v="0.47"/>
    <n v="0"/>
    <n v="1"/>
    <n v="18"/>
    <x v="146"/>
  </r>
  <r>
    <x v="26"/>
    <x v="0"/>
    <x v="0"/>
    <x v="0"/>
    <x v="3"/>
    <b v="0"/>
    <n v="0"/>
    <x v="0"/>
    <n v="0.12"/>
    <n v="7.5800000000000006E-2"/>
    <n v="0.46"/>
    <n v="0.52239999999999998"/>
    <n v="0"/>
    <n v="19"/>
    <x v="146"/>
  </r>
  <r>
    <x v="3"/>
    <x v="0"/>
    <x v="0"/>
    <x v="0"/>
    <x v="16"/>
    <b v="0"/>
    <n v="2"/>
    <x v="2"/>
    <n v="0.16"/>
    <n v="0.19700000000000001"/>
    <n v="0.93"/>
    <n v="8.9599999999999999E-2"/>
    <n v="1"/>
    <n v="18"/>
    <x v="146"/>
  </r>
  <r>
    <x v="19"/>
    <x v="0"/>
    <x v="0"/>
    <x v="0"/>
    <x v="0"/>
    <b v="0"/>
    <n v="0"/>
    <x v="0"/>
    <n v="0.06"/>
    <n v="7.5800000000000006E-2"/>
    <n v="0.62"/>
    <n v="0.16420000000000001"/>
    <n v="2"/>
    <n v="17"/>
    <x v="146"/>
  </r>
  <r>
    <x v="10"/>
    <x v="0"/>
    <x v="0"/>
    <x v="0"/>
    <x v="16"/>
    <b v="0"/>
    <n v="1"/>
    <x v="0"/>
    <n v="0.14000000000000001"/>
    <n v="0.1515"/>
    <n v="0.59"/>
    <n v="0.16420000000000001"/>
    <n v="0"/>
    <n v="18"/>
    <x v="147"/>
  </r>
  <r>
    <x v="18"/>
    <x v="0"/>
    <x v="0"/>
    <x v="0"/>
    <x v="0"/>
    <b v="0"/>
    <n v="0"/>
    <x v="0"/>
    <n v="0.22"/>
    <n v="0.21210000000000001"/>
    <n v="0.55000000000000004"/>
    <n v="0.28360000000000002"/>
    <n v="0"/>
    <n v="18"/>
    <x v="147"/>
  </r>
  <r>
    <x v="18"/>
    <x v="0"/>
    <x v="0"/>
    <x v="0"/>
    <x v="16"/>
    <b v="0"/>
    <n v="0"/>
    <x v="1"/>
    <n v="0.2"/>
    <n v="0.2273"/>
    <n v="0.4"/>
    <n v="0.1045"/>
    <n v="0"/>
    <n v="18"/>
    <x v="147"/>
  </r>
  <r>
    <x v="19"/>
    <x v="0"/>
    <x v="0"/>
    <x v="0"/>
    <x v="20"/>
    <b v="0"/>
    <n v="0"/>
    <x v="0"/>
    <n v="0.02"/>
    <n v="6.0600000000000001E-2"/>
    <n v="0.62"/>
    <n v="0.1343"/>
    <n v="3"/>
    <n v="15"/>
    <x v="147"/>
  </r>
  <r>
    <x v="24"/>
    <x v="0"/>
    <x v="0"/>
    <x v="0"/>
    <x v="18"/>
    <b v="0"/>
    <n v="0"/>
    <x v="1"/>
    <n v="0.46"/>
    <n v="0.45450000000000002"/>
    <n v="0.88"/>
    <n v="0.29849999999999999"/>
    <n v="4"/>
    <n v="13"/>
    <x v="148"/>
  </r>
  <r>
    <x v="24"/>
    <x v="0"/>
    <x v="0"/>
    <x v="0"/>
    <x v="17"/>
    <b v="0"/>
    <n v="0"/>
    <x v="1"/>
    <n v="0.44"/>
    <n v="0.43940000000000001"/>
    <n v="0.94"/>
    <n v="0.25369999999999998"/>
    <n v="1"/>
    <n v="16"/>
    <x v="148"/>
  </r>
  <r>
    <x v="6"/>
    <x v="0"/>
    <x v="0"/>
    <x v="0"/>
    <x v="18"/>
    <b v="0"/>
    <n v="5"/>
    <x v="1"/>
    <n v="0.2"/>
    <n v="0.19700000000000001"/>
    <n v="0.64"/>
    <n v="0.19400000000000001"/>
    <n v="4"/>
    <n v="13"/>
    <x v="148"/>
  </r>
  <r>
    <x v="12"/>
    <x v="0"/>
    <x v="0"/>
    <x v="0"/>
    <x v="19"/>
    <b v="0"/>
    <n v="5"/>
    <x v="0"/>
    <n v="0.1"/>
    <n v="0.18179999999999999"/>
    <n v="0.54"/>
    <n v="0"/>
    <n v="0"/>
    <n v="17"/>
    <x v="148"/>
  </r>
  <r>
    <x v="25"/>
    <x v="0"/>
    <x v="0"/>
    <x v="0"/>
    <x v="18"/>
    <b v="1"/>
    <n v="1"/>
    <x v="1"/>
    <n v="0.2"/>
    <n v="0.19700000000000001"/>
    <n v="0.47"/>
    <n v="0.22389999999999999"/>
    <n v="1"/>
    <n v="16"/>
    <x v="148"/>
  </r>
  <r>
    <x v="27"/>
    <x v="0"/>
    <x v="0"/>
    <x v="0"/>
    <x v="18"/>
    <b v="0"/>
    <n v="3"/>
    <x v="1"/>
    <n v="0.22"/>
    <n v="0.2273"/>
    <n v="0.69"/>
    <n v="0.1343"/>
    <n v="3"/>
    <n v="14"/>
    <x v="148"/>
  </r>
  <r>
    <x v="20"/>
    <x v="0"/>
    <x v="0"/>
    <x v="0"/>
    <x v="18"/>
    <b v="0"/>
    <n v="6"/>
    <x v="0"/>
    <n v="0.24"/>
    <n v="0.28789999999999999"/>
    <n v="0.81"/>
    <n v="0"/>
    <n v="3"/>
    <n v="13"/>
    <x v="149"/>
  </r>
  <r>
    <x v="23"/>
    <x v="0"/>
    <x v="0"/>
    <x v="0"/>
    <x v="17"/>
    <b v="0"/>
    <n v="6"/>
    <x v="1"/>
    <n v="0.18"/>
    <n v="0.21210000000000001"/>
    <n v="0.55000000000000004"/>
    <n v="8.9599999999999999E-2"/>
    <n v="1"/>
    <n v="15"/>
    <x v="149"/>
  </r>
  <r>
    <x v="23"/>
    <x v="0"/>
    <x v="0"/>
    <x v="0"/>
    <x v="20"/>
    <b v="0"/>
    <n v="6"/>
    <x v="1"/>
    <n v="0.18"/>
    <n v="0.2424"/>
    <n v="0.55000000000000004"/>
    <n v="0"/>
    <n v="3"/>
    <n v="13"/>
    <x v="149"/>
  </r>
  <r>
    <x v="15"/>
    <x v="0"/>
    <x v="0"/>
    <x v="0"/>
    <x v="19"/>
    <b v="0"/>
    <n v="3"/>
    <x v="0"/>
    <n v="0.12"/>
    <n v="0.1515"/>
    <n v="0.93"/>
    <n v="0.1343"/>
    <n v="0"/>
    <n v="16"/>
    <x v="149"/>
  </r>
  <r>
    <x v="18"/>
    <x v="0"/>
    <x v="0"/>
    <x v="0"/>
    <x v="20"/>
    <b v="0"/>
    <n v="0"/>
    <x v="0"/>
    <n v="0.26"/>
    <n v="0.28789999999999999"/>
    <n v="0.56000000000000005"/>
    <n v="8.9599999999999999E-2"/>
    <n v="3"/>
    <n v="13"/>
    <x v="149"/>
  </r>
  <r>
    <x v="25"/>
    <x v="0"/>
    <x v="0"/>
    <x v="0"/>
    <x v="17"/>
    <b v="1"/>
    <n v="1"/>
    <x v="1"/>
    <n v="0.2"/>
    <n v="0.19700000000000001"/>
    <n v="0.44"/>
    <n v="0.19400000000000001"/>
    <n v="1"/>
    <n v="15"/>
    <x v="149"/>
  </r>
  <r>
    <x v="21"/>
    <x v="0"/>
    <x v="0"/>
    <x v="0"/>
    <x v="16"/>
    <b v="0"/>
    <n v="4"/>
    <x v="0"/>
    <n v="0.18"/>
    <n v="0.19700000000000001"/>
    <n v="0.8"/>
    <n v="0.16420000000000001"/>
    <n v="0"/>
    <n v="16"/>
    <x v="149"/>
  </r>
  <r>
    <x v="14"/>
    <x v="0"/>
    <x v="0"/>
    <x v="0"/>
    <x v="19"/>
    <b v="0"/>
    <n v="5"/>
    <x v="1"/>
    <n v="0.18"/>
    <n v="0.19700000000000001"/>
    <n v="0.8"/>
    <n v="0.1343"/>
    <n v="0"/>
    <n v="16"/>
    <x v="149"/>
  </r>
  <r>
    <x v="6"/>
    <x v="0"/>
    <x v="0"/>
    <x v="0"/>
    <x v="16"/>
    <b v="0"/>
    <n v="5"/>
    <x v="1"/>
    <n v="0.18"/>
    <n v="0.19700000000000001"/>
    <n v="0.51"/>
    <n v="0.16420000000000001"/>
    <n v="1"/>
    <n v="14"/>
    <x v="150"/>
  </r>
  <r>
    <x v="23"/>
    <x v="0"/>
    <x v="0"/>
    <x v="0"/>
    <x v="0"/>
    <b v="0"/>
    <n v="6"/>
    <x v="2"/>
    <n v="0.16"/>
    <n v="0.18179999999999999"/>
    <n v="0.93"/>
    <n v="0.1045"/>
    <n v="0"/>
    <n v="15"/>
    <x v="150"/>
  </r>
  <r>
    <x v="26"/>
    <x v="0"/>
    <x v="0"/>
    <x v="0"/>
    <x v="15"/>
    <b v="0"/>
    <n v="0"/>
    <x v="0"/>
    <n v="0.14000000000000001"/>
    <n v="0.1212"/>
    <n v="0.46"/>
    <n v="0.29849999999999999"/>
    <n v="5"/>
    <n v="10"/>
    <x v="150"/>
  </r>
  <r>
    <x v="7"/>
    <x v="0"/>
    <x v="0"/>
    <x v="0"/>
    <x v="16"/>
    <b v="0"/>
    <n v="4"/>
    <x v="0"/>
    <n v="0.12"/>
    <n v="0.13639999999999999"/>
    <n v="0.5"/>
    <n v="0.19400000000000001"/>
    <n v="1"/>
    <n v="14"/>
    <x v="150"/>
  </r>
  <r>
    <x v="18"/>
    <x v="0"/>
    <x v="0"/>
    <x v="0"/>
    <x v="21"/>
    <b v="0"/>
    <n v="0"/>
    <x v="0"/>
    <n v="0.22"/>
    <n v="0.2727"/>
    <n v="0.69"/>
    <n v="0"/>
    <n v="9"/>
    <n v="6"/>
    <x v="150"/>
  </r>
  <r>
    <x v="11"/>
    <x v="0"/>
    <x v="0"/>
    <x v="0"/>
    <x v="19"/>
    <b v="0"/>
    <n v="1"/>
    <x v="0"/>
    <n v="0.02"/>
    <n v="7.5800000000000006E-2"/>
    <n v="0.48"/>
    <n v="8.9599999999999999E-2"/>
    <n v="0"/>
    <n v="15"/>
    <x v="150"/>
  </r>
  <r>
    <x v="20"/>
    <x v="0"/>
    <x v="0"/>
    <x v="0"/>
    <x v="3"/>
    <b v="0"/>
    <n v="6"/>
    <x v="0"/>
    <n v="0.32"/>
    <n v="0.34849999999999998"/>
    <n v="0.76"/>
    <n v="0"/>
    <n v="8"/>
    <n v="6"/>
    <x v="151"/>
  </r>
  <r>
    <x v="12"/>
    <x v="0"/>
    <x v="0"/>
    <x v="0"/>
    <x v="18"/>
    <b v="0"/>
    <n v="5"/>
    <x v="0"/>
    <n v="0.12"/>
    <n v="0.13639999999999999"/>
    <n v="0.5"/>
    <n v="0.19400000000000001"/>
    <n v="0"/>
    <n v="14"/>
    <x v="151"/>
  </r>
  <r>
    <x v="20"/>
    <x v="0"/>
    <x v="0"/>
    <x v="0"/>
    <x v="21"/>
    <b v="0"/>
    <n v="6"/>
    <x v="0"/>
    <n v="0.24"/>
    <n v="0.28789999999999999"/>
    <n v="0.75"/>
    <n v="0"/>
    <n v="3"/>
    <n v="10"/>
    <x v="152"/>
  </r>
  <r>
    <x v="25"/>
    <x v="0"/>
    <x v="0"/>
    <x v="0"/>
    <x v="11"/>
    <b v="1"/>
    <n v="1"/>
    <x v="1"/>
    <n v="0.16"/>
    <n v="0.18179999999999999"/>
    <n v="0.5"/>
    <n v="0.1343"/>
    <n v="4"/>
    <n v="9"/>
    <x v="152"/>
  </r>
  <r>
    <x v="25"/>
    <x v="0"/>
    <x v="0"/>
    <x v="0"/>
    <x v="15"/>
    <b v="1"/>
    <n v="1"/>
    <x v="2"/>
    <n v="0.14000000000000001"/>
    <n v="0.1212"/>
    <n v="0.93"/>
    <n v="0.25369999999999998"/>
    <n v="0"/>
    <n v="13"/>
    <x v="152"/>
  </r>
  <r>
    <x v="0"/>
    <x v="0"/>
    <x v="0"/>
    <x v="0"/>
    <x v="18"/>
    <b v="0"/>
    <n v="4"/>
    <x v="0"/>
    <n v="0.26"/>
    <n v="0.2273"/>
    <n v="0.56000000000000005"/>
    <n v="0.3881"/>
    <n v="5"/>
    <n v="8"/>
    <x v="152"/>
  </r>
  <r>
    <x v="22"/>
    <x v="0"/>
    <x v="0"/>
    <x v="0"/>
    <x v="18"/>
    <b v="0"/>
    <n v="6"/>
    <x v="0"/>
    <n v="0.04"/>
    <n v="3.0300000000000001E-2"/>
    <n v="0.45"/>
    <n v="0.25369999999999998"/>
    <n v="0"/>
    <n v="13"/>
    <x v="152"/>
  </r>
  <r>
    <x v="19"/>
    <x v="0"/>
    <x v="0"/>
    <x v="0"/>
    <x v="17"/>
    <b v="0"/>
    <n v="0"/>
    <x v="0"/>
    <n v="0.04"/>
    <n v="7.5800000000000006E-2"/>
    <n v="0.56999999999999995"/>
    <n v="0.1045"/>
    <n v="1"/>
    <n v="12"/>
    <x v="152"/>
  </r>
  <r>
    <x v="13"/>
    <x v="0"/>
    <x v="0"/>
    <x v="0"/>
    <x v="16"/>
    <b v="0"/>
    <n v="1"/>
    <x v="0"/>
    <n v="0.18"/>
    <n v="0.21210000000000001"/>
    <n v="0.55000000000000004"/>
    <n v="0.1045"/>
    <n v="1"/>
    <n v="11"/>
    <x v="153"/>
  </r>
  <r>
    <x v="26"/>
    <x v="0"/>
    <x v="0"/>
    <x v="0"/>
    <x v="17"/>
    <b v="0"/>
    <n v="0"/>
    <x v="0"/>
    <n v="0.1"/>
    <n v="6.0600000000000001E-2"/>
    <n v="0.42"/>
    <n v="0.4627"/>
    <n v="0"/>
    <n v="12"/>
    <x v="153"/>
  </r>
  <r>
    <x v="3"/>
    <x v="0"/>
    <x v="0"/>
    <x v="0"/>
    <x v="18"/>
    <b v="0"/>
    <n v="2"/>
    <x v="0"/>
    <n v="0.14000000000000001"/>
    <n v="0.16669999999999999"/>
    <n v="0.59"/>
    <n v="0.1045"/>
    <n v="2"/>
    <n v="10"/>
    <x v="153"/>
  </r>
  <r>
    <x v="17"/>
    <x v="0"/>
    <x v="0"/>
    <x v="0"/>
    <x v="20"/>
    <b v="0"/>
    <n v="6"/>
    <x v="1"/>
    <n v="0.16"/>
    <n v="0.19700000000000001"/>
    <n v="0.59"/>
    <n v="8.9599999999999999E-2"/>
    <n v="0"/>
    <n v="12"/>
    <x v="153"/>
  </r>
  <r>
    <x v="22"/>
    <x v="0"/>
    <x v="0"/>
    <x v="0"/>
    <x v="17"/>
    <b v="0"/>
    <n v="6"/>
    <x v="1"/>
    <n v="0.04"/>
    <n v="0"/>
    <n v="0.41"/>
    <n v="0.3881"/>
    <n v="3"/>
    <n v="9"/>
    <x v="153"/>
  </r>
  <r>
    <x v="5"/>
    <x v="0"/>
    <x v="0"/>
    <x v="0"/>
    <x v="16"/>
    <b v="0"/>
    <n v="2"/>
    <x v="0"/>
    <n v="0.2"/>
    <n v="0.2273"/>
    <n v="0.69"/>
    <n v="8.9599999999999999E-2"/>
    <n v="2"/>
    <n v="9"/>
    <x v="154"/>
  </r>
  <r>
    <x v="2"/>
    <x v="0"/>
    <x v="0"/>
    <x v="0"/>
    <x v="18"/>
    <b v="0"/>
    <n v="4"/>
    <x v="0"/>
    <n v="0.18"/>
    <n v="0.2424"/>
    <n v="0.55000000000000004"/>
    <n v="0"/>
    <n v="0"/>
    <n v="11"/>
    <x v="154"/>
  </r>
  <r>
    <x v="26"/>
    <x v="0"/>
    <x v="0"/>
    <x v="0"/>
    <x v="20"/>
    <b v="0"/>
    <n v="0"/>
    <x v="0"/>
    <n v="0.1"/>
    <n v="6.0600000000000001E-2"/>
    <n v="0.46"/>
    <n v="0.4627"/>
    <n v="0"/>
    <n v="11"/>
    <x v="154"/>
  </r>
  <r>
    <x v="22"/>
    <x v="0"/>
    <x v="0"/>
    <x v="0"/>
    <x v="20"/>
    <b v="0"/>
    <n v="6"/>
    <x v="1"/>
    <n v="0.04"/>
    <n v="3.0300000000000001E-2"/>
    <n v="0.41"/>
    <n v="0.25369999999999998"/>
    <n v="0"/>
    <n v="11"/>
    <x v="154"/>
  </r>
  <r>
    <x v="26"/>
    <x v="0"/>
    <x v="0"/>
    <x v="0"/>
    <x v="0"/>
    <b v="0"/>
    <n v="0"/>
    <x v="0"/>
    <n v="0.1"/>
    <n v="9.0899999999999995E-2"/>
    <n v="0.49"/>
    <n v="0.28360000000000002"/>
    <n v="0"/>
    <n v="10"/>
    <x v="155"/>
  </r>
  <r>
    <x v="17"/>
    <x v="0"/>
    <x v="0"/>
    <x v="0"/>
    <x v="11"/>
    <b v="0"/>
    <n v="6"/>
    <x v="0"/>
    <n v="0.14000000000000001"/>
    <n v="0.21210000000000001"/>
    <n v="0.63"/>
    <n v="0"/>
    <n v="1"/>
    <n v="9"/>
    <x v="155"/>
  </r>
  <r>
    <x v="27"/>
    <x v="0"/>
    <x v="0"/>
    <x v="0"/>
    <x v="20"/>
    <b v="0"/>
    <n v="3"/>
    <x v="2"/>
    <n v="0.22"/>
    <n v="0.2273"/>
    <n v="0.69"/>
    <n v="0.19400000000000001"/>
    <n v="3"/>
    <n v="7"/>
    <x v="155"/>
  </r>
  <r>
    <x v="24"/>
    <x v="0"/>
    <x v="0"/>
    <x v="0"/>
    <x v="20"/>
    <b v="0"/>
    <n v="0"/>
    <x v="1"/>
    <n v="0.42"/>
    <n v="0.42420000000000002"/>
    <n v="1"/>
    <n v="0.28360000000000002"/>
    <n v="1"/>
    <n v="8"/>
    <x v="156"/>
  </r>
  <r>
    <x v="24"/>
    <x v="0"/>
    <x v="0"/>
    <x v="0"/>
    <x v="15"/>
    <b v="0"/>
    <n v="0"/>
    <x v="0"/>
    <n v="0.24"/>
    <n v="0.21210000000000001"/>
    <n v="0.44"/>
    <n v="0.29849999999999999"/>
    <n v="0"/>
    <n v="9"/>
    <x v="156"/>
  </r>
  <r>
    <x v="23"/>
    <x v="0"/>
    <x v="0"/>
    <x v="0"/>
    <x v="11"/>
    <b v="0"/>
    <n v="6"/>
    <x v="1"/>
    <n v="0.16"/>
    <n v="0.18179999999999999"/>
    <n v="0.74"/>
    <n v="0.1045"/>
    <n v="1"/>
    <n v="8"/>
    <x v="156"/>
  </r>
  <r>
    <x v="1"/>
    <x v="0"/>
    <x v="0"/>
    <x v="0"/>
    <x v="18"/>
    <b v="0"/>
    <n v="2"/>
    <x v="1"/>
    <n v="0.16"/>
    <n v="0.13639999999999999"/>
    <n v="0.69"/>
    <n v="0.28360000000000002"/>
    <n v="3"/>
    <n v="6"/>
    <x v="156"/>
  </r>
  <r>
    <x v="1"/>
    <x v="0"/>
    <x v="0"/>
    <x v="0"/>
    <x v="22"/>
    <b v="0"/>
    <n v="2"/>
    <x v="0"/>
    <n v="0.14000000000000001"/>
    <n v="0.13639999999999999"/>
    <n v="0.74"/>
    <n v="0.22389999999999999"/>
    <n v="0"/>
    <n v="9"/>
    <x v="156"/>
  </r>
  <r>
    <x v="14"/>
    <x v="0"/>
    <x v="0"/>
    <x v="0"/>
    <x v="18"/>
    <b v="0"/>
    <n v="5"/>
    <x v="1"/>
    <n v="0.2"/>
    <n v="0.21210000000000001"/>
    <n v="0.75"/>
    <n v="0.1343"/>
    <n v="0"/>
    <n v="9"/>
    <x v="156"/>
  </r>
  <r>
    <x v="20"/>
    <x v="0"/>
    <x v="0"/>
    <x v="0"/>
    <x v="0"/>
    <b v="0"/>
    <n v="6"/>
    <x v="0"/>
    <n v="0.24"/>
    <m/>
    <n v="0.75"/>
    <n v="0"/>
    <n v="1"/>
    <n v="7"/>
    <x v="157"/>
  </r>
  <r>
    <x v="24"/>
    <x v="0"/>
    <x v="0"/>
    <x v="0"/>
    <x v="0"/>
    <b v="0"/>
    <n v="0"/>
    <x v="2"/>
    <n v="0.4"/>
    <n v="0.40910000000000002"/>
    <n v="0.71"/>
    <n v="0.22389999999999999"/>
    <n v="0"/>
    <n v="8"/>
    <x v="157"/>
  </r>
  <r>
    <x v="24"/>
    <x v="0"/>
    <x v="0"/>
    <x v="0"/>
    <x v="16"/>
    <b v="0"/>
    <n v="0"/>
    <x v="0"/>
    <n v="0.22"/>
    <n v="0.2273"/>
    <n v="0.47"/>
    <n v="0.16420000000000001"/>
    <n v="0"/>
    <n v="8"/>
    <x v="157"/>
  </r>
  <r>
    <x v="12"/>
    <x v="0"/>
    <x v="0"/>
    <x v="0"/>
    <x v="22"/>
    <b v="0"/>
    <n v="5"/>
    <x v="0"/>
    <n v="0.1"/>
    <n v="0.13639999999999999"/>
    <n v="0.54"/>
    <n v="8.9599999999999999E-2"/>
    <n v="0"/>
    <n v="8"/>
    <x v="157"/>
  </r>
  <r>
    <x v="17"/>
    <x v="0"/>
    <x v="0"/>
    <x v="0"/>
    <x v="21"/>
    <b v="0"/>
    <n v="6"/>
    <x v="1"/>
    <n v="0.16"/>
    <n v="0.2273"/>
    <n v="0.59"/>
    <n v="0"/>
    <n v="1"/>
    <n v="7"/>
    <x v="157"/>
  </r>
  <r>
    <x v="25"/>
    <x v="0"/>
    <x v="0"/>
    <x v="0"/>
    <x v="20"/>
    <b v="1"/>
    <n v="1"/>
    <x v="1"/>
    <n v="0.18"/>
    <n v="0.16669999999999999"/>
    <n v="0.43"/>
    <n v="0.25369999999999998"/>
    <n v="0"/>
    <n v="8"/>
    <x v="157"/>
  </r>
  <r>
    <x v="22"/>
    <x v="0"/>
    <x v="0"/>
    <x v="0"/>
    <x v="11"/>
    <b v="0"/>
    <n v="6"/>
    <x v="0"/>
    <n v="0.02"/>
    <n v="1.52E-2"/>
    <n v="0.44"/>
    <n v="0.28360000000000002"/>
    <n v="0"/>
    <n v="8"/>
    <x v="157"/>
  </r>
  <r>
    <x v="27"/>
    <x v="0"/>
    <x v="0"/>
    <x v="0"/>
    <x v="19"/>
    <b v="0"/>
    <n v="3"/>
    <x v="2"/>
    <n v="0.2"/>
    <n v="0.18179999999999999"/>
    <n v="0.86"/>
    <n v="0.28360000000000002"/>
    <n v="0"/>
    <n v="8"/>
    <x v="157"/>
  </r>
  <r>
    <x v="6"/>
    <x v="0"/>
    <x v="0"/>
    <x v="0"/>
    <x v="17"/>
    <b v="0"/>
    <n v="5"/>
    <x v="1"/>
    <n v="0.2"/>
    <n v="0.19700000000000001"/>
    <n v="0.69"/>
    <n v="0.22389999999999999"/>
    <n v="2"/>
    <n v="5"/>
    <x v="158"/>
  </r>
  <r>
    <x v="23"/>
    <x v="0"/>
    <x v="0"/>
    <x v="0"/>
    <x v="21"/>
    <b v="0"/>
    <n v="6"/>
    <x v="2"/>
    <n v="0.18"/>
    <n v="0.19700000000000001"/>
    <n v="0.55000000000000004"/>
    <n v="0.16420000000000001"/>
    <n v="0"/>
    <n v="7"/>
    <x v="158"/>
  </r>
  <r>
    <x v="15"/>
    <x v="0"/>
    <x v="0"/>
    <x v="0"/>
    <x v="18"/>
    <b v="0"/>
    <n v="3"/>
    <x v="1"/>
    <n v="0.16"/>
    <n v="0.19700000000000001"/>
    <n v="0.86"/>
    <n v="8.9599999999999999E-2"/>
    <n v="0"/>
    <n v="7"/>
    <x v="158"/>
  </r>
  <r>
    <x v="7"/>
    <x v="0"/>
    <x v="0"/>
    <x v="0"/>
    <x v="18"/>
    <b v="0"/>
    <n v="4"/>
    <x v="0"/>
    <n v="0.14000000000000001"/>
    <n v="0.1212"/>
    <n v="0.59"/>
    <n v="0.28360000000000002"/>
    <n v="1"/>
    <n v="6"/>
    <x v="158"/>
  </r>
  <r>
    <x v="8"/>
    <x v="0"/>
    <x v="0"/>
    <x v="0"/>
    <x v="17"/>
    <b v="0"/>
    <n v="3"/>
    <x v="2"/>
    <n v="0.22"/>
    <n v="0.2273"/>
    <n v="0.93"/>
    <n v="0.1343"/>
    <n v="1"/>
    <n v="6"/>
    <x v="158"/>
  </r>
  <r>
    <x v="8"/>
    <x v="0"/>
    <x v="0"/>
    <x v="0"/>
    <x v="22"/>
    <b v="0"/>
    <n v="3"/>
    <x v="1"/>
    <n v="0.22"/>
    <n v="0.2576"/>
    <n v="0.93"/>
    <n v="8.9599999999999999E-2"/>
    <n v="0"/>
    <n v="7"/>
    <x v="158"/>
  </r>
  <r>
    <x v="22"/>
    <x v="0"/>
    <x v="0"/>
    <x v="0"/>
    <x v="21"/>
    <b v="0"/>
    <n v="6"/>
    <x v="1"/>
    <n v="0.04"/>
    <n v="3.0300000000000001E-2"/>
    <n v="0.41"/>
    <n v="0.28360000000000002"/>
    <n v="1"/>
    <n v="6"/>
    <x v="158"/>
  </r>
  <r>
    <x v="11"/>
    <x v="0"/>
    <x v="0"/>
    <x v="0"/>
    <x v="18"/>
    <b v="0"/>
    <n v="1"/>
    <x v="0"/>
    <n v="0.06"/>
    <n v="6.0600000000000001E-2"/>
    <n v="0.41"/>
    <n v="0.19400000000000001"/>
    <n v="0"/>
    <n v="7"/>
    <x v="158"/>
  </r>
  <r>
    <x v="24"/>
    <x v="0"/>
    <x v="0"/>
    <x v="0"/>
    <x v="21"/>
    <b v="0"/>
    <n v="0"/>
    <x v="1"/>
    <n v="0.46"/>
    <n v="0.45450000000000002"/>
    <n v="0.94"/>
    <n v="0.19400000000000001"/>
    <n v="2"/>
    <n v="4"/>
    <x v="159"/>
  </r>
  <r>
    <x v="9"/>
    <x v="0"/>
    <x v="0"/>
    <x v="0"/>
    <x v="18"/>
    <b v="0"/>
    <n v="3"/>
    <x v="0"/>
    <n v="0.2"/>
    <n v="0.2576"/>
    <n v="0.64"/>
    <n v="0"/>
    <n v="0"/>
    <n v="6"/>
    <x v="159"/>
  </r>
  <r>
    <x v="9"/>
    <x v="0"/>
    <x v="0"/>
    <x v="0"/>
    <x v="17"/>
    <b v="0"/>
    <n v="3"/>
    <x v="0"/>
    <n v="0.16"/>
    <n v="0.19700000000000001"/>
    <n v="0.74"/>
    <n v="8.9599999999999999E-2"/>
    <n v="0"/>
    <n v="6"/>
    <x v="159"/>
  </r>
  <r>
    <x v="26"/>
    <x v="0"/>
    <x v="0"/>
    <x v="0"/>
    <x v="11"/>
    <b v="0"/>
    <n v="0"/>
    <x v="0"/>
    <n v="0.08"/>
    <n v="9.0899999999999995E-2"/>
    <n v="0.53"/>
    <n v="0.19400000000000001"/>
    <n v="1"/>
    <n v="5"/>
    <x v="159"/>
  </r>
  <r>
    <x v="26"/>
    <x v="0"/>
    <x v="0"/>
    <x v="0"/>
    <x v="16"/>
    <b v="0"/>
    <n v="0"/>
    <x v="0"/>
    <n v="0.12"/>
    <n v="0.13639999999999999"/>
    <n v="0.5"/>
    <n v="0.19400000000000001"/>
    <n v="0"/>
    <n v="6"/>
    <x v="159"/>
  </r>
  <r>
    <x v="3"/>
    <x v="0"/>
    <x v="0"/>
    <x v="0"/>
    <x v="22"/>
    <b v="0"/>
    <n v="2"/>
    <x v="1"/>
    <n v="0.16"/>
    <n v="0.18179999999999999"/>
    <n v="0.55000000000000004"/>
    <n v="0.1343"/>
    <n v="0"/>
    <n v="6"/>
    <x v="159"/>
  </r>
  <r>
    <x v="15"/>
    <x v="0"/>
    <x v="0"/>
    <x v="0"/>
    <x v="17"/>
    <b v="0"/>
    <n v="3"/>
    <x v="1"/>
    <n v="0.16"/>
    <n v="0.18179999999999999"/>
    <n v="0.86"/>
    <n v="0.1045"/>
    <n v="0"/>
    <n v="6"/>
    <x v="159"/>
  </r>
  <r>
    <x v="0"/>
    <x v="0"/>
    <x v="0"/>
    <x v="0"/>
    <x v="22"/>
    <b v="0"/>
    <n v="4"/>
    <x v="0"/>
    <n v="0.24"/>
    <n v="0.2273"/>
    <n v="0.6"/>
    <n v="0.22389999999999999"/>
    <n v="0"/>
    <n v="6"/>
    <x v="159"/>
  </r>
  <r>
    <x v="4"/>
    <x v="0"/>
    <x v="0"/>
    <x v="0"/>
    <x v="17"/>
    <b v="0"/>
    <n v="5"/>
    <x v="1"/>
    <n v="0.24"/>
    <n v="0.2273"/>
    <n v="0.7"/>
    <n v="0.25369999999999998"/>
    <n v="0"/>
    <n v="6"/>
    <x v="159"/>
  </r>
  <r>
    <x v="13"/>
    <x v="0"/>
    <x v="0"/>
    <x v="0"/>
    <x v="18"/>
    <b v="0"/>
    <n v="1"/>
    <x v="0"/>
    <n v="0.22"/>
    <n v="0.19700000000000001"/>
    <n v="0.44"/>
    <n v="0.35820000000000002"/>
    <n v="0"/>
    <n v="5"/>
    <x v="160"/>
  </r>
  <r>
    <x v="5"/>
    <x v="0"/>
    <x v="0"/>
    <x v="0"/>
    <x v="18"/>
    <b v="0"/>
    <n v="2"/>
    <x v="0"/>
    <n v="0.16"/>
    <m/>
    <n v="0.55000000000000004"/>
    <n v="0.1045"/>
    <n v="0"/>
    <n v="5"/>
    <x v="160"/>
  </r>
  <r>
    <x v="6"/>
    <x v="0"/>
    <x v="0"/>
    <x v="0"/>
    <x v="22"/>
    <b v="0"/>
    <n v="5"/>
    <x v="2"/>
    <n v="0.22"/>
    <n v="0.2727"/>
    <n v="0.55000000000000004"/>
    <n v="0"/>
    <n v="0"/>
    <n v="5"/>
    <x v="160"/>
  </r>
  <r>
    <x v="23"/>
    <x v="0"/>
    <x v="0"/>
    <x v="0"/>
    <x v="22"/>
    <b v="0"/>
    <n v="6"/>
    <x v="1"/>
    <n v="0.16"/>
    <n v="0.16669999999999999"/>
    <n v="0.74"/>
    <n v="0.16420000000000001"/>
    <n v="0"/>
    <n v="5"/>
    <x v="160"/>
  </r>
  <r>
    <x v="10"/>
    <x v="0"/>
    <x v="0"/>
    <x v="0"/>
    <x v="18"/>
    <b v="0"/>
    <n v="1"/>
    <x v="0"/>
    <n v="0.12"/>
    <n v="0.1212"/>
    <n v="0.5"/>
    <n v="0.28360000000000002"/>
    <n v="2"/>
    <n v="3"/>
    <x v="160"/>
  </r>
  <r>
    <x v="15"/>
    <x v="0"/>
    <x v="0"/>
    <x v="0"/>
    <x v="22"/>
    <b v="0"/>
    <n v="3"/>
    <x v="0"/>
    <n v="0.14000000000000001"/>
    <n v="0.1515"/>
    <n v="0.86"/>
    <n v="0.16420000000000001"/>
    <n v="0"/>
    <n v="5"/>
    <x v="160"/>
  </r>
  <r>
    <x v="12"/>
    <x v="0"/>
    <x v="0"/>
    <x v="0"/>
    <x v="17"/>
    <b v="0"/>
    <n v="5"/>
    <x v="0"/>
    <n v="0.1"/>
    <n v="0.1212"/>
    <n v="0.54"/>
    <n v="0.16420000000000001"/>
    <n v="0"/>
    <n v="5"/>
    <x v="160"/>
  </r>
  <r>
    <x v="17"/>
    <x v="0"/>
    <x v="0"/>
    <x v="0"/>
    <x v="23"/>
    <b v="0"/>
    <n v="6"/>
    <x v="1"/>
    <n v="0.16"/>
    <n v="0.2273"/>
    <n v="0.59"/>
    <n v="0"/>
    <n v="0"/>
    <n v="5"/>
    <x v="160"/>
  </r>
  <r>
    <x v="25"/>
    <x v="0"/>
    <x v="0"/>
    <x v="0"/>
    <x v="19"/>
    <b v="1"/>
    <n v="1"/>
    <x v="1"/>
    <n v="0.18"/>
    <n v="0.18179999999999999"/>
    <n v="0.43"/>
    <n v="0.19400000000000001"/>
    <n v="0"/>
    <n v="5"/>
    <x v="160"/>
  </r>
  <r>
    <x v="0"/>
    <x v="0"/>
    <x v="0"/>
    <x v="0"/>
    <x v="17"/>
    <b v="0"/>
    <n v="4"/>
    <x v="0"/>
    <n v="0.26"/>
    <n v="0.2727"/>
    <n v="0.56000000000000005"/>
    <n v="0"/>
    <n v="2"/>
    <n v="3"/>
    <x v="160"/>
  </r>
  <r>
    <x v="4"/>
    <x v="0"/>
    <x v="0"/>
    <x v="0"/>
    <x v="22"/>
    <b v="0"/>
    <n v="5"/>
    <x v="0"/>
    <n v="0.24"/>
    <n v="0.19700000000000001"/>
    <n v="0.6"/>
    <n v="0.41789999999999999"/>
    <n v="1"/>
    <n v="4"/>
    <x v="160"/>
  </r>
  <r>
    <x v="19"/>
    <x v="0"/>
    <x v="0"/>
    <x v="0"/>
    <x v="21"/>
    <b v="0"/>
    <n v="0"/>
    <x v="0"/>
    <n v="0.02"/>
    <n v="6.0600000000000001E-2"/>
    <n v="0.62"/>
    <n v="0.1343"/>
    <n v="1"/>
    <n v="4"/>
    <x v="160"/>
  </r>
  <r>
    <x v="11"/>
    <x v="0"/>
    <x v="0"/>
    <x v="0"/>
    <x v="22"/>
    <b v="0"/>
    <n v="1"/>
    <x v="0"/>
    <n v="0.02"/>
    <n v="6.0600000000000001E-2"/>
    <n v="0.48"/>
    <n v="0.1343"/>
    <n v="0"/>
    <n v="5"/>
    <x v="160"/>
  </r>
  <r>
    <x v="1"/>
    <x v="0"/>
    <x v="0"/>
    <x v="0"/>
    <x v="17"/>
    <b v="0"/>
    <n v="2"/>
    <x v="1"/>
    <n v="0.16"/>
    <n v="0.16669999999999999"/>
    <n v="0.69"/>
    <n v="0.16420000000000001"/>
    <n v="0"/>
    <n v="5"/>
    <x v="160"/>
  </r>
  <r>
    <x v="27"/>
    <x v="0"/>
    <x v="0"/>
    <x v="0"/>
    <x v="17"/>
    <b v="0"/>
    <n v="3"/>
    <x v="1"/>
    <n v="0.24"/>
    <n v="0.2424"/>
    <n v="0.65"/>
    <n v="0.1343"/>
    <n v="0"/>
    <n v="5"/>
    <x v="160"/>
  </r>
  <r>
    <x v="5"/>
    <x v="0"/>
    <x v="0"/>
    <x v="0"/>
    <x v="22"/>
    <b v="0"/>
    <n v="2"/>
    <x v="0"/>
    <n v="0.12"/>
    <n v="0.1515"/>
    <n v="0.68"/>
    <n v="0.1045"/>
    <n v="0"/>
    <n v="4"/>
    <x v="161"/>
  </r>
  <r>
    <x v="2"/>
    <x v="0"/>
    <x v="0"/>
    <x v="0"/>
    <x v="17"/>
    <b v="0"/>
    <n v="4"/>
    <x v="0"/>
    <n v="0.16"/>
    <n v="0.2273"/>
    <n v="0.64"/>
    <n v="0"/>
    <n v="0"/>
    <n v="4"/>
    <x v="161"/>
  </r>
  <r>
    <x v="2"/>
    <x v="0"/>
    <x v="0"/>
    <x v="0"/>
    <x v="22"/>
    <b v="0"/>
    <n v="4"/>
    <x v="1"/>
    <n v="0.14000000000000001"/>
    <n v="0.18179999999999999"/>
    <n v="0.69"/>
    <n v="8.9599999999999999E-2"/>
    <n v="0"/>
    <n v="4"/>
    <x v="161"/>
  </r>
  <r>
    <x v="26"/>
    <x v="0"/>
    <x v="0"/>
    <x v="0"/>
    <x v="21"/>
    <b v="0"/>
    <n v="0"/>
    <x v="0"/>
    <n v="0.1"/>
    <n v="7.5800000000000006E-2"/>
    <n v="0.46"/>
    <n v="0.41789999999999999"/>
    <n v="0"/>
    <n v="4"/>
    <x v="161"/>
  </r>
  <r>
    <x v="7"/>
    <x v="0"/>
    <x v="0"/>
    <x v="0"/>
    <x v="23"/>
    <b v="0"/>
    <n v="4"/>
    <x v="0"/>
    <n v="0.14000000000000001"/>
    <n v="0.1212"/>
    <n v="0.5"/>
    <n v="0.25369999999999998"/>
    <n v="0"/>
    <n v="4"/>
    <x v="161"/>
  </r>
  <r>
    <x v="25"/>
    <x v="0"/>
    <x v="0"/>
    <x v="0"/>
    <x v="16"/>
    <b v="1"/>
    <n v="1"/>
    <x v="2"/>
    <n v="0.16"/>
    <n v="0.13639999999999999"/>
    <n v="0.86"/>
    <n v="0.28360000000000002"/>
    <n v="1"/>
    <n v="3"/>
    <x v="161"/>
  </r>
  <r>
    <x v="14"/>
    <x v="0"/>
    <x v="0"/>
    <x v="0"/>
    <x v="22"/>
    <b v="0"/>
    <n v="5"/>
    <x v="1"/>
    <n v="0.18"/>
    <n v="0.21210000000000001"/>
    <n v="0.8"/>
    <n v="0.1045"/>
    <n v="0"/>
    <n v="4"/>
    <x v="161"/>
  </r>
  <r>
    <x v="20"/>
    <x v="0"/>
    <x v="0"/>
    <x v="0"/>
    <x v="11"/>
    <b v="0"/>
    <n v="6"/>
    <x v="0"/>
    <n v="0.2"/>
    <n v="0.2576"/>
    <n v="0.86"/>
    <n v="0"/>
    <n v="1"/>
    <n v="2"/>
    <x v="162"/>
  </r>
  <r>
    <x v="24"/>
    <x v="0"/>
    <x v="0"/>
    <x v="0"/>
    <x v="23"/>
    <b v="0"/>
    <n v="0"/>
    <x v="1"/>
    <n v="0.46"/>
    <m/>
    <n v="0.94"/>
    <n v="0.19400000000000001"/>
    <n v="2"/>
    <n v="1"/>
    <x v="162"/>
  </r>
  <r>
    <x v="13"/>
    <x v="0"/>
    <x v="0"/>
    <x v="0"/>
    <x v="22"/>
    <b v="0"/>
    <n v="1"/>
    <x v="0"/>
    <n v="0.16"/>
    <n v="0.13639999999999999"/>
    <n v="0.47"/>
    <n v="0.28360000000000002"/>
    <n v="0"/>
    <n v="3"/>
    <x v="162"/>
  </r>
  <r>
    <x v="9"/>
    <x v="0"/>
    <x v="0"/>
    <x v="0"/>
    <x v="22"/>
    <b v="0"/>
    <n v="3"/>
    <x v="0"/>
    <n v="0.22"/>
    <n v="0.2273"/>
    <n v="0.47"/>
    <n v="0.16420000000000001"/>
    <n v="0"/>
    <n v="3"/>
    <x v="162"/>
  </r>
  <r>
    <x v="10"/>
    <x v="0"/>
    <x v="0"/>
    <x v="0"/>
    <x v="20"/>
    <b v="0"/>
    <n v="1"/>
    <x v="0"/>
    <n v="0.12"/>
    <n v="0.1212"/>
    <n v="0.5"/>
    <n v="0.22389999999999999"/>
    <n v="0"/>
    <n v="3"/>
    <x v="162"/>
  </r>
  <r>
    <x v="10"/>
    <x v="0"/>
    <x v="0"/>
    <x v="0"/>
    <x v="23"/>
    <b v="0"/>
    <n v="1"/>
    <x v="0"/>
    <n v="0.1"/>
    <n v="0.1212"/>
    <n v="0.54"/>
    <n v="0.1343"/>
    <n v="1"/>
    <n v="2"/>
    <x v="162"/>
  </r>
  <r>
    <x v="10"/>
    <x v="0"/>
    <x v="0"/>
    <x v="0"/>
    <x v="22"/>
    <b v="0"/>
    <n v="1"/>
    <x v="0"/>
    <n v="0.1"/>
    <n v="0.1061"/>
    <n v="0.54"/>
    <n v="0.25369999999999998"/>
    <n v="0"/>
    <n v="3"/>
    <x v="162"/>
  </r>
  <r>
    <x v="3"/>
    <x v="0"/>
    <x v="0"/>
    <x v="0"/>
    <x v="17"/>
    <b v="0"/>
    <n v="2"/>
    <x v="0"/>
    <n v="0.14000000000000001"/>
    <n v="0.1515"/>
    <n v="0.59"/>
    <n v="0.16420000000000001"/>
    <n v="0"/>
    <n v="3"/>
    <x v="162"/>
  </r>
  <r>
    <x v="3"/>
    <x v="0"/>
    <x v="0"/>
    <x v="0"/>
    <x v="20"/>
    <b v="0"/>
    <n v="2"/>
    <x v="1"/>
    <n v="0.16"/>
    <n v="0.1515"/>
    <n v="0.55000000000000004"/>
    <n v="0.19400000000000001"/>
    <n v="0"/>
    <n v="3"/>
    <x v="162"/>
  </r>
  <r>
    <x v="7"/>
    <x v="0"/>
    <x v="0"/>
    <x v="0"/>
    <x v="21"/>
    <b v="0"/>
    <n v="4"/>
    <x v="0"/>
    <n v="0.14000000000000001"/>
    <n v="0.1212"/>
    <n v="0.5"/>
    <n v="0.32840000000000003"/>
    <n v="0"/>
    <n v="3"/>
    <x v="162"/>
  </r>
  <r>
    <x v="7"/>
    <x v="0"/>
    <x v="0"/>
    <x v="0"/>
    <x v="22"/>
    <b v="0"/>
    <n v="4"/>
    <x v="0"/>
    <n v="0.14000000000000001"/>
    <n v="0.1212"/>
    <n v="0.5"/>
    <n v="0.29849999999999999"/>
    <n v="0"/>
    <n v="3"/>
    <x v="162"/>
  </r>
  <r>
    <x v="17"/>
    <x v="0"/>
    <x v="0"/>
    <x v="0"/>
    <x v="19"/>
    <b v="0"/>
    <n v="6"/>
    <x v="0"/>
    <n v="0.14000000000000001"/>
    <n v="0.16669999999999999"/>
    <n v="0.63"/>
    <n v="0.1045"/>
    <n v="1"/>
    <n v="2"/>
    <x v="162"/>
  </r>
  <r>
    <x v="18"/>
    <x v="0"/>
    <x v="0"/>
    <x v="0"/>
    <x v="11"/>
    <b v="0"/>
    <n v="0"/>
    <x v="1"/>
    <n v="0.24"/>
    <n v="0.21210000000000001"/>
    <n v="0.56000000000000005"/>
    <n v="0.29849999999999999"/>
    <n v="0"/>
    <n v="3"/>
    <x v="162"/>
  </r>
  <r>
    <x v="25"/>
    <x v="0"/>
    <x v="0"/>
    <x v="0"/>
    <x v="23"/>
    <b v="1"/>
    <n v="1"/>
    <x v="1"/>
    <n v="0.18"/>
    <n v="0.19700000000000001"/>
    <n v="0.43"/>
    <n v="0.1343"/>
    <n v="1"/>
    <n v="2"/>
    <x v="162"/>
  </r>
  <r>
    <x v="16"/>
    <x v="0"/>
    <x v="0"/>
    <x v="0"/>
    <x v="10"/>
    <b v="0"/>
    <n v="2"/>
    <x v="1"/>
    <n v="0.2"/>
    <n v="0.18179999999999999"/>
    <n v="0.86"/>
    <n v="0.32840000000000003"/>
    <n v="0"/>
    <n v="3"/>
    <x v="162"/>
  </r>
  <r>
    <x v="8"/>
    <x v="0"/>
    <x v="0"/>
    <x v="0"/>
    <x v="18"/>
    <b v="0"/>
    <n v="3"/>
    <x v="1"/>
    <n v="0.22"/>
    <n v="0.2727"/>
    <n v="0.93"/>
    <n v="0"/>
    <n v="0"/>
    <n v="3"/>
    <x v="162"/>
  </r>
  <r>
    <x v="8"/>
    <x v="0"/>
    <x v="0"/>
    <x v="0"/>
    <x v="20"/>
    <b v="0"/>
    <n v="3"/>
    <x v="2"/>
    <n v="0.22"/>
    <n v="0.2273"/>
    <n v="0.93"/>
    <n v="0.1343"/>
    <n v="0"/>
    <n v="3"/>
    <x v="162"/>
  </r>
  <r>
    <x v="22"/>
    <x v="0"/>
    <x v="0"/>
    <x v="0"/>
    <x v="23"/>
    <b v="0"/>
    <n v="6"/>
    <x v="1"/>
    <n v="0.02"/>
    <n v="1.52E-2"/>
    <n v="0.48"/>
    <n v="0.29849999999999999"/>
    <n v="0"/>
    <n v="3"/>
    <x v="162"/>
  </r>
  <r>
    <x v="19"/>
    <x v="0"/>
    <x v="0"/>
    <x v="0"/>
    <x v="22"/>
    <b v="0"/>
    <n v="0"/>
    <x v="1"/>
    <n v="0.04"/>
    <n v="7.5800000000000006E-2"/>
    <n v="0.56999999999999995"/>
    <n v="0.1045"/>
    <n v="0"/>
    <n v="3"/>
    <x v="162"/>
  </r>
  <r>
    <x v="14"/>
    <x v="0"/>
    <x v="0"/>
    <x v="0"/>
    <x v="17"/>
    <b v="0"/>
    <n v="5"/>
    <x v="1"/>
    <n v="0.2"/>
    <n v="0.21210000000000001"/>
    <n v="0.75"/>
    <n v="0.1343"/>
    <n v="1"/>
    <n v="2"/>
    <x v="162"/>
  </r>
  <r>
    <x v="20"/>
    <x v="0"/>
    <x v="0"/>
    <x v="0"/>
    <x v="19"/>
    <b v="0"/>
    <n v="6"/>
    <x v="0"/>
    <n v="0.22"/>
    <n v="0.2727"/>
    <n v="0.8"/>
    <n v="0"/>
    <n v="2"/>
    <n v="0"/>
    <x v="163"/>
  </r>
  <r>
    <x v="24"/>
    <x v="0"/>
    <x v="0"/>
    <x v="0"/>
    <x v="19"/>
    <b v="0"/>
    <n v="0"/>
    <x v="2"/>
    <n v="0.42"/>
    <n v="0.42420000000000002"/>
    <n v="0.77"/>
    <n v="0.29849999999999999"/>
    <n v="0"/>
    <n v="2"/>
    <x v="163"/>
  </r>
  <r>
    <x v="13"/>
    <x v="0"/>
    <x v="0"/>
    <x v="0"/>
    <x v="17"/>
    <b v="0"/>
    <n v="1"/>
    <x v="0"/>
    <n v="0.2"/>
    <m/>
    <n v="0.44"/>
    <n v="0.41789999999999999"/>
    <n v="0"/>
    <n v="2"/>
    <x v="163"/>
  </r>
  <r>
    <x v="5"/>
    <x v="0"/>
    <x v="0"/>
    <x v="0"/>
    <x v="17"/>
    <b v="0"/>
    <n v="2"/>
    <x v="0"/>
    <n v="0.16"/>
    <n v="0.18179999999999999"/>
    <n v="0.59"/>
    <n v="0.1045"/>
    <n v="0"/>
    <n v="2"/>
    <x v="163"/>
  </r>
  <r>
    <x v="5"/>
    <x v="0"/>
    <x v="0"/>
    <x v="0"/>
    <x v="23"/>
    <b v="0"/>
    <n v="2"/>
    <x v="0"/>
    <n v="0.14000000000000001"/>
    <n v="0.18179999999999999"/>
    <n v="0.63"/>
    <n v="8.9599999999999999E-2"/>
    <n v="0"/>
    <n v="2"/>
    <x v="163"/>
  </r>
  <r>
    <x v="9"/>
    <x v="0"/>
    <x v="0"/>
    <x v="0"/>
    <x v="20"/>
    <b v="0"/>
    <n v="3"/>
    <x v="0"/>
    <n v="0.16"/>
    <n v="0.19700000000000001"/>
    <n v="0.74"/>
    <n v="8.9599999999999999E-2"/>
    <n v="0"/>
    <n v="2"/>
    <x v="163"/>
  </r>
  <r>
    <x v="9"/>
    <x v="0"/>
    <x v="0"/>
    <x v="0"/>
    <x v="23"/>
    <b v="0"/>
    <n v="3"/>
    <x v="0"/>
    <n v="0.24"/>
    <n v="0.2273"/>
    <n v="0.48"/>
    <n v="0.22389999999999999"/>
    <n v="0"/>
    <n v="2"/>
    <x v="163"/>
  </r>
  <r>
    <x v="2"/>
    <x v="0"/>
    <x v="0"/>
    <x v="0"/>
    <x v="20"/>
    <b v="0"/>
    <n v="4"/>
    <x v="0"/>
    <n v="0.16"/>
    <n v="0.2273"/>
    <n v="0.64"/>
    <n v="0"/>
    <n v="0"/>
    <n v="2"/>
    <x v="163"/>
  </r>
  <r>
    <x v="23"/>
    <x v="0"/>
    <x v="0"/>
    <x v="0"/>
    <x v="19"/>
    <b v="0"/>
    <n v="6"/>
    <x v="1"/>
    <n v="0.16"/>
    <n v="0.16669999999999999"/>
    <n v="0.74"/>
    <n v="0.16420000000000001"/>
    <n v="0"/>
    <n v="2"/>
    <x v="163"/>
  </r>
  <r>
    <x v="7"/>
    <x v="0"/>
    <x v="0"/>
    <x v="0"/>
    <x v="17"/>
    <b v="0"/>
    <n v="4"/>
    <x v="0"/>
    <n v="0.14000000000000001"/>
    <n v="0.1212"/>
    <n v="0.5"/>
    <n v="0.28360000000000002"/>
    <n v="0"/>
    <n v="2"/>
    <x v="163"/>
  </r>
  <r>
    <x v="7"/>
    <x v="0"/>
    <x v="0"/>
    <x v="0"/>
    <x v="20"/>
    <b v="0"/>
    <n v="4"/>
    <x v="0"/>
    <n v="0.14000000000000001"/>
    <n v="0.1212"/>
    <n v="0.5"/>
    <n v="0.35820000000000002"/>
    <n v="0"/>
    <n v="2"/>
    <x v="163"/>
  </r>
  <r>
    <x v="18"/>
    <x v="0"/>
    <x v="0"/>
    <x v="0"/>
    <x v="22"/>
    <b v="0"/>
    <n v="0"/>
    <x v="1"/>
    <n v="0.26"/>
    <n v="0.2576"/>
    <n v="0.56000000000000005"/>
    <n v="0.16420000000000001"/>
    <n v="1"/>
    <n v="1"/>
    <x v="163"/>
  </r>
  <r>
    <x v="25"/>
    <x v="0"/>
    <x v="0"/>
    <x v="0"/>
    <x v="21"/>
    <b v="1"/>
    <n v="1"/>
    <x v="1"/>
    <n v="0.18"/>
    <n v="0.18179999999999999"/>
    <n v="0.43"/>
    <n v="0.19400000000000001"/>
    <n v="0"/>
    <n v="2"/>
    <x v="163"/>
  </r>
  <r>
    <x v="8"/>
    <x v="0"/>
    <x v="0"/>
    <x v="0"/>
    <x v="23"/>
    <b v="0"/>
    <n v="3"/>
    <x v="2"/>
    <n v="0.22"/>
    <n v="0.2273"/>
    <n v="0.93"/>
    <n v="0.1343"/>
    <n v="1"/>
    <n v="1"/>
    <x v="163"/>
  </r>
  <r>
    <x v="0"/>
    <x v="0"/>
    <x v="0"/>
    <x v="0"/>
    <x v="20"/>
    <b v="0"/>
    <n v="4"/>
    <x v="0"/>
    <n v="0.26"/>
    <n v="0.2727"/>
    <n v="0.56000000000000005"/>
    <n v="0"/>
    <n v="0"/>
    <n v="2"/>
    <x v="163"/>
  </r>
  <r>
    <x v="4"/>
    <x v="0"/>
    <x v="0"/>
    <x v="0"/>
    <x v="20"/>
    <b v="0"/>
    <n v="5"/>
    <x v="2"/>
    <n v="0.24"/>
    <n v="0.2424"/>
    <n v="0.75"/>
    <n v="0.16420000000000001"/>
    <n v="0"/>
    <n v="2"/>
    <x v="163"/>
  </r>
  <r>
    <x v="22"/>
    <x v="0"/>
    <x v="0"/>
    <x v="0"/>
    <x v="19"/>
    <b v="0"/>
    <n v="6"/>
    <x v="1"/>
    <n v="0.02"/>
    <n v="3.0300000000000001E-2"/>
    <n v="0.44"/>
    <n v="0.22389999999999999"/>
    <n v="0"/>
    <n v="2"/>
    <x v="163"/>
  </r>
  <r>
    <x v="19"/>
    <x v="0"/>
    <x v="0"/>
    <x v="0"/>
    <x v="11"/>
    <b v="0"/>
    <n v="0"/>
    <x v="0"/>
    <n v="0.08"/>
    <n v="0.1061"/>
    <n v="0.57999999999999996"/>
    <n v="0.16420000000000001"/>
    <n v="1"/>
    <n v="1"/>
    <x v="163"/>
  </r>
  <r>
    <x v="1"/>
    <x v="0"/>
    <x v="0"/>
    <x v="0"/>
    <x v="20"/>
    <b v="0"/>
    <n v="2"/>
    <x v="0"/>
    <n v="0.16"/>
    <n v="0.1515"/>
    <n v="0.69"/>
    <n v="0.22389999999999999"/>
    <n v="0"/>
    <n v="2"/>
    <x v="163"/>
  </r>
  <r>
    <x v="14"/>
    <x v="0"/>
    <x v="0"/>
    <x v="0"/>
    <x v="20"/>
    <b v="0"/>
    <n v="5"/>
    <x v="1"/>
    <n v="0.2"/>
    <n v="0.21210000000000001"/>
    <n v="0.75"/>
    <n v="0.16420000000000001"/>
    <n v="0"/>
    <n v="2"/>
    <x v="163"/>
  </r>
  <r>
    <x v="20"/>
    <x v="0"/>
    <x v="0"/>
    <x v="0"/>
    <x v="23"/>
    <b v="0"/>
    <n v="6"/>
    <x v="0"/>
    <n v="0.24"/>
    <n v="0.28789999999999999"/>
    <n v="0.75"/>
    <n v="0"/>
    <n v="0"/>
    <n v="1"/>
    <x v="164"/>
  </r>
  <r>
    <x v="20"/>
    <x v="0"/>
    <x v="0"/>
    <x v="0"/>
    <x v="22"/>
    <b v="0"/>
    <n v="6"/>
    <x v="1"/>
    <n v="0.24"/>
    <n v="0.2576"/>
    <n v="0.75"/>
    <n v="8.9599999999999999E-2"/>
    <n v="0"/>
    <n v="1"/>
    <x v="164"/>
  </r>
  <r>
    <x v="24"/>
    <x v="0"/>
    <x v="0"/>
    <x v="0"/>
    <x v="11"/>
    <b v="0"/>
    <n v="0"/>
    <x v="1"/>
    <n v="0.4"/>
    <n v="0.40910000000000002"/>
    <n v="0.76"/>
    <n v="0.19400000000000001"/>
    <n v="0"/>
    <n v="1"/>
    <x v="164"/>
  </r>
  <r>
    <x v="13"/>
    <x v="0"/>
    <x v="0"/>
    <x v="0"/>
    <x v="23"/>
    <b v="0"/>
    <n v="1"/>
    <x v="0"/>
    <n v="0.16"/>
    <n v="0.13639999999999999"/>
    <n v="0.47"/>
    <n v="0.3881"/>
    <n v="0"/>
    <n v="1"/>
    <x v="164"/>
  </r>
  <r>
    <x v="5"/>
    <x v="0"/>
    <x v="0"/>
    <x v="0"/>
    <x v="20"/>
    <b v="0"/>
    <n v="2"/>
    <x v="0"/>
    <n v="0.14000000000000001"/>
    <n v="0.1515"/>
    <n v="0.63"/>
    <n v="0.1343"/>
    <n v="0"/>
    <n v="1"/>
    <x v="164"/>
  </r>
  <r>
    <x v="2"/>
    <x v="0"/>
    <x v="0"/>
    <x v="0"/>
    <x v="23"/>
    <b v="0"/>
    <n v="4"/>
    <x v="1"/>
    <n v="0.16"/>
    <n v="0.19700000000000001"/>
    <n v="0.64"/>
    <n v="8.9599999999999999E-2"/>
    <n v="0"/>
    <n v="1"/>
    <x v="164"/>
  </r>
  <r>
    <x v="6"/>
    <x v="0"/>
    <x v="0"/>
    <x v="0"/>
    <x v="20"/>
    <b v="0"/>
    <n v="5"/>
    <x v="1"/>
    <n v="0.2"/>
    <n v="0.19700000000000001"/>
    <n v="0.69"/>
    <n v="0.22389999999999999"/>
    <n v="0"/>
    <n v="1"/>
    <x v="164"/>
  </r>
  <r>
    <x v="6"/>
    <x v="0"/>
    <x v="0"/>
    <x v="0"/>
    <x v="23"/>
    <b v="0"/>
    <n v="5"/>
    <x v="1"/>
    <n v="0.2"/>
    <n v="0.21210000000000001"/>
    <n v="0.69"/>
    <n v="0.1343"/>
    <n v="0"/>
    <n v="1"/>
    <x v="164"/>
  </r>
  <r>
    <x v="23"/>
    <x v="0"/>
    <x v="0"/>
    <x v="0"/>
    <x v="23"/>
    <b v="0"/>
    <n v="6"/>
    <x v="2"/>
    <n v="0.18"/>
    <n v="0.19700000000000001"/>
    <n v="0.55000000000000004"/>
    <n v="0.16420000000000001"/>
    <n v="0"/>
    <n v="1"/>
    <x v="164"/>
  </r>
  <r>
    <x v="26"/>
    <x v="0"/>
    <x v="0"/>
    <x v="0"/>
    <x v="23"/>
    <b v="0"/>
    <n v="0"/>
    <x v="0"/>
    <n v="0.08"/>
    <n v="9.0899999999999995E-2"/>
    <n v="0.53"/>
    <n v="0.19400000000000001"/>
    <n v="0"/>
    <n v="1"/>
    <x v="164"/>
  </r>
  <r>
    <x v="26"/>
    <x v="0"/>
    <x v="0"/>
    <x v="0"/>
    <x v="19"/>
    <b v="0"/>
    <n v="0"/>
    <x v="0"/>
    <n v="0.1"/>
    <n v="9.0899999999999995E-2"/>
    <n v="0.49"/>
    <n v="0.28360000000000002"/>
    <n v="0"/>
    <n v="1"/>
    <x v="164"/>
  </r>
  <r>
    <x v="10"/>
    <x v="0"/>
    <x v="0"/>
    <x v="0"/>
    <x v="17"/>
    <b v="0"/>
    <n v="1"/>
    <x v="0"/>
    <n v="0.12"/>
    <n v="0.1212"/>
    <n v="0.5"/>
    <n v="0.28360000000000002"/>
    <n v="1"/>
    <n v="0"/>
    <x v="164"/>
  </r>
  <r>
    <x v="10"/>
    <x v="0"/>
    <x v="0"/>
    <x v="0"/>
    <x v="21"/>
    <b v="0"/>
    <n v="1"/>
    <x v="0"/>
    <n v="0.12"/>
    <n v="0.1212"/>
    <n v="0.5"/>
    <n v="0.22389999999999999"/>
    <n v="0"/>
    <n v="1"/>
    <x v="164"/>
  </r>
  <r>
    <x v="15"/>
    <x v="0"/>
    <x v="0"/>
    <x v="0"/>
    <x v="20"/>
    <b v="0"/>
    <n v="3"/>
    <x v="0"/>
    <n v="0.14000000000000001"/>
    <n v="0.1515"/>
    <n v="0.86"/>
    <n v="0.1343"/>
    <n v="0"/>
    <n v="1"/>
    <x v="164"/>
  </r>
  <r>
    <x v="12"/>
    <x v="0"/>
    <x v="0"/>
    <x v="0"/>
    <x v="20"/>
    <b v="0"/>
    <n v="5"/>
    <x v="0"/>
    <n v="0.1"/>
    <n v="0.1212"/>
    <n v="0.54"/>
    <n v="0.1343"/>
    <n v="0"/>
    <n v="1"/>
    <x v="164"/>
  </r>
  <r>
    <x v="12"/>
    <x v="0"/>
    <x v="0"/>
    <x v="0"/>
    <x v="21"/>
    <b v="0"/>
    <n v="5"/>
    <x v="0"/>
    <n v="0.1"/>
    <n v="0.13639999999999999"/>
    <n v="0.54"/>
    <n v="0.1045"/>
    <n v="0"/>
    <n v="1"/>
    <x v="164"/>
  </r>
  <r>
    <x v="17"/>
    <x v="0"/>
    <x v="0"/>
    <x v="0"/>
    <x v="22"/>
    <b v="0"/>
    <n v="6"/>
    <x v="0"/>
    <n v="0.16"/>
    <n v="0.2273"/>
    <n v="0.59"/>
    <n v="0"/>
    <n v="0"/>
    <n v="1"/>
    <x v="164"/>
  </r>
  <r>
    <x v="18"/>
    <x v="0"/>
    <x v="0"/>
    <x v="0"/>
    <x v="23"/>
    <b v="0"/>
    <n v="0"/>
    <x v="0"/>
    <n v="0.26"/>
    <n v="0.2576"/>
    <n v="0.56000000000000005"/>
    <n v="0.16420000000000001"/>
    <n v="0"/>
    <n v="1"/>
    <x v="164"/>
  </r>
  <r>
    <x v="25"/>
    <x v="0"/>
    <x v="0"/>
    <x v="0"/>
    <x v="22"/>
    <b v="1"/>
    <n v="1"/>
    <x v="1"/>
    <n v="0.18"/>
    <n v="0.19700000000000001"/>
    <n v="0.43"/>
    <n v="0.16420000000000001"/>
    <n v="0"/>
    <n v="1"/>
    <x v="164"/>
  </r>
  <r>
    <x v="4"/>
    <x v="0"/>
    <x v="0"/>
    <x v="0"/>
    <x v="21"/>
    <b v="0"/>
    <n v="5"/>
    <x v="2"/>
    <n v="0.22"/>
    <n v="0.21210000000000001"/>
    <n v="0.8"/>
    <n v="0.29849999999999999"/>
    <n v="0"/>
    <n v="1"/>
    <x v="164"/>
  </r>
  <r>
    <x v="4"/>
    <x v="0"/>
    <x v="0"/>
    <x v="0"/>
    <x v="23"/>
    <b v="0"/>
    <n v="5"/>
    <x v="1"/>
    <n v="0.22"/>
    <n v="0.2576"/>
    <n v="0.87"/>
    <n v="8.9599999999999999E-2"/>
    <n v="0"/>
    <n v="1"/>
    <x v="164"/>
  </r>
  <r>
    <x v="19"/>
    <x v="0"/>
    <x v="0"/>
    <x v="0"/>
    <x v="19"/>
    <b v="0"/>
    <n v="0"/>
    <x v="1"/>
    <n v="0.04"/>
    <n v="7.5800000000000006E-2"/>
    <n v="0.56999999999999995"/>
    <n v="0.1045"/>
    <n v="0"/>
    <n v="1"/>
    <x v="164"/>
  </r>
  <r>
    <x v="11"/>
    <x v="0"/>
    <x v="0"/>
    <x v="0"/>
    <x v="17"/>
    <b v="0"/>
    <n v="1"/>
    <x v="0"/>
    <n v="0.04"/>
    <n v="4.5499999999999999E-2"/>
    <n v="0.45"/>
    <n v="0.19400000000000001"/>
    <n v="0"/>
    <n v="1"/>
    <x v="164"/>
  </r>
  <r>
    <x v="11"/>
    <x v="0"/>
    <x v="0"/>
    <x v="0"/>
    <x v="21"/>
    <b v="0"/>
    <n v="1"/>
    <x v="0"/>
    <n v="0.04"/>
    <n v="3.0300000000000001E-2"/>
    <n v="0.45"/>
    <n v="0.25369999999999998"/>
    <n v="0"/>
    <n v="1"/>
    <x v="164"/>
  </r>
  <r>
    <x v="11"/>
    <x v="0"/>
    <x v="0"/>
    <x v="0"/>
    <x v="23"/>
    <b v="0"/>
    <n v="1"/>
    <x v="0"/>
    <n v="0.02"/>
    <n v="6.0600000000000001E-2"/>
    <n v="0.48"/>
    <n v="0.1343"/>
    <n v="0"/>
    <n v="1"/>
    <x v="164"/>
  </r>
  <r>
    <x v="1"/>
    <x v="0"/>
    <x v="0"/>
    <x v="0"/>
    <x v="23"/>
    <b v="0"/>
    <n v="2"/>
    <x v="0"/>
    <n v="0.14000000000000001"/>
    <n v="0.16669999999999999"/>
    <n v="0.74"/>
    <n v="0.1045"/>
    <n v="0"/>
    <n v="1"/>
    <x v="164"/>
  </r>
  <r>
    <x v="27"/>
    <x v="0"/>
    <x v="0"/>
    <x v="0"/>
    <x v="22"/>
    <b v="0"/>
    <n v="3"/>
    <x v="2"/>
    <n v="0.2"/>
    <n v="0.18179999999999999"/>
    <n v="0.86"/>
    <n v="0.28360000000000002"/>
    <n v="0"/>
    <n v="1"/>
    <x v="164"/>
  </r>
  <r>
    <x v="14"/>
    <x v="0"/>
    <x v="0"/>
    <x v="0"/>
    <x v="21"/>
    <b v="0"/>
    <n v="5"/>
    <x v="1"/>
    <n v="0.2"/>
    <n v="0.2273"/>
    <n v="0.75"/>
    <n v="0.1045"/>
    <n v="1"/>
    <n v="0"/>
    <x v="16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7">
  <r>
    <n v="440"/>
    <x v="0"/>
    <n v="1"/>
    <n v="0"/>
    <n v="1"/>
    <x v="0"/>
    <b v="0"/>
    <x v="0"/>
    <x v="0"/>
    <n v="0.22"/>
    <n v="0.21210000000000001"/>
    <n v="0.55000000000000004"/>
    <n v="0.28360000000000002"/>
    <x v="0"/>
    <x v="0"/>
    <x v="0"/>
  </r>
  <r>
    <n v="556"/>
    <x v="1"/>
    <n v="1"/>
    <n v="0"/>
    <n v="1"/>
    <x v="0"/>
    <b v="0"/>
    <x v="1"/>
    <x v="1"/>
    <n v="0.16"/>
    <n v="0.18179999999999999"/>
    <n v="0.74"/>
    <n v="0.1343"/>
    <x v="1"/>
    <x v="1"/>
    <x v="1"/>
  </r>
  <r>
    <n v="566"/>
    <x v="1"/>
    <n v="1"/>
    <n v="0"/>
    <n v="1"/>
    <x v="1"/>
    <b v="0"/>
    <x v="1"/>
    <x v="1"/>
    <n v="0.3"/>
    <n v="0.31819999999999998"/>
    <n v="0.49"/>
    <n v="8.9599999999999999E-2"/>
    <x v="2"/>
    <x v="2"/>
    <x v="2"/>
  </r>
  <r>
    <n v="565"/>
    <x v="1"/>
    <n v="1"/>
    <n v="0"/>
    <n v="1"/>
    <x v="2"/>
    <b v="0"/>
    <x v="1"/>
    <x v="0"/>
    <n v="0.3"/>
    <n v="0.33329999999999999"/>
    <n v="0.45"/>
    <n v="0"/>
    <x v="3"/>
    <x v="3"/>
    <x v="3"/>
  </r>
  <r>
    <n v="123"/>
    <x v="2"/>
    <n v="1"/>
    <n v="0"/>
    <n v="1"/>
    <x v="0"/>
    <b v="0"/>
    <x v="0"/>
    <x v="0"/>
    <n v="0.16"/>
    <n v="0.2273"/>
    <n v="0.59"/>
    <n v="0"/>
    <x v="4"/>
    <x v="4"/>
    <x v="4"/>
  </r>
  <r>
    <n v="240"/>
    <x v="3"/>
    <n v="1"/>
    <n v="0"/>
    <n v="1"/>
    <x v="0"/>
    <b v="0"/>
    <x v="1"/>
    <x v="1"/>
    <n v="0.18"/>
    <n v="0.21210000000000001"/>
    <n v="0.51"/>
    <n v="8.9599999999999999E-2"/>
    <x v="4"/>
    <x v="5"/>
    <x v="5"/>
  </r>
  <r>
    <n v="464"/>
    <x v="4"/>
    <n v="1"/>
    <n v="0"/>
    <n v="1"/>
    <x v="0"/>
    <b v="0"/>
    <x v="2"/>
    <x v="0"/>
    <n v="0.2"/>
    <n v="0.18179999999999999"/>
    <n v="0.47"/>
    <n v="0.32840000000000003"/>
    <x v="2"/>
    <x v="6"/>
    <x v="5"/>
  </r>
  <r>
    <n v="449"/>
    <x v="0"/>
    <n v="1"/>
    <n v="0"/>
    <n v="1"/>
    <x v="2"/>
    <b v="0"/>
    <x v="0"/>
    <x v="1"/>
    <n v="0.3"/>
    <n v="0.31819999999999998"/>
    <n v="0.49"/>
    <n v="0.1045"/>
    <x v="5"/>
    <x v="7"/>
    <x v="6"/>
  </r>
  <r>
    <n v="86"/>
    <x v="5"/>
    <n v="1"/>
    <n v="0"/>
    <n v="1"/>
    <x v="2"/>
    <b v="0"/>
    <x v="1"/>
    <x v="0"/>
    <n v="0.28000000000000003"/>
    <n v="0.2727"/>
    <n v="0.48"/>
    <n v="0.22389999999999999"/>
    <x v="6"/>
    <x v="8"/>
    <x v="7"/>
  </r>
  <r>
    <n v="146"/>
    <x v="6"/>
    <n v="1"/>
    <n v="0"/>
    <n v="1"/>
    <x v="0"/>
    <b v="0"/>
    <x v="2"/>
    <x v="0"/>
    <n v="0.2"/>
    <n v="0.19700000000000001"/>
    <n v="0.51"/>
    <n v="0.25369999999999998"/>
    <x v="7"/>
    <x v="9"/>
    <x v="8"/>
  </r>
  <r>
    <n v="286"/>
    <x v="7"/>
    <n v="1"/>
    <n v="0"/>
    <n v="1"/>
    <x v="0"/>
    <b v="0"/>
    <x v="0"/>
    <x v="0"/>
    <n v="0.14000000000000001"/>
    <n v="0.13639999999999999"/>
    <n v="0.5"/>
    <n v="0.19400000000000001"/>
    <x v="1"/>
    <x v="10"/>
    <x v="9"/>
  </r>
  <r>
    <n v="416"/>
    <x v="8"/>
    <n v="1"/>
    <n v="0"/>
    <n v="1"/>
    <x v="0"/>
    <b v="0"/>
    <x v="3"/>
    <x v="1"/>
    <n v="0.24"/>
    <n v="0.2576"/>
    <n v="0.93"/>
    <n v="0.1045"/>
    <x v="8"/>
    <x v="11"/>
    <x v="10"/>
  </r>
  <r>
    <n v="425"/>
    <x v="8"/>
    <n v="1"/>
    <n v="0"/>
    <n v="1"/>
    <x v="2"/>
    <b v="0"/>
    <x v="3"/>
    <x v="0"/>
    <n v="0.36"/>
    <n v="0.33329999999999999"/>
    <n v="0.56999999999999995"/>
    <n v="0.32840000000000003"/>
    <x v="2"/>
    <x v="9"/>
    <x v="10"/>
  </r>
  <r>
    <n v="100"/>
    <x v="9"/>
    <n v="1"/>
    <n v="0"/>
    <n v="1"/>
    <x v="0"/>
    <b v="0"/>
    <x v="3"/>
    <x v="0"/>
    <n v="0.2"/>
    <n v="0.18179999999999999"/>
    <n v="0.4"/>
    <n v="0.29849999999999999"/>
    <x v="4"/>
    <x v="12"/>
    <x v="11"/>
  </r>
  <r>
    <n v="109"/>
    <x v="9"/>
    <n v="1"/>
    <n v="0"/>
    <n v="1"/>
    <x v="2"/>
    <b v="0"/>
    <x v="3"/>
    <x v="0"/>
    <n v="0.24"/>
    <n v="0.2273"/>
    <n v="0.38"/>
    <n v="0.19400000000000001"/>
    <x v="9"/>
    <x v="13"/>
    <x v="12"/>
  </r>
  <r>
    <n v="218"/>
    <x v="10"/>
    <n v="1"/>
    <n v="0"/>
    <n v="1"/>
    <x v="0"/>
    <b v="0"/>
    <x v="4"/>
    <x v="1"/>
    <n v="0.12"/>
    <n v="0.1212"/>
    <n v="0.5"/>
    <n v="0.28360000000000002"/>
    <x v="9"/>
    <x v="14"/>
    <x v="13"/>
  </r>
  <r>
    <n v="155"/>
    <x v="6"/>
    <n v="1"/>
    <n v="0"/>
    <n v="1"/>
    <x v="2"/>
    <b v="0"/>
    <x v="2"/>
    <x v="1"/>
    <n v="0.2"/>
    <n v="0.2576"/>
    <n v="0.37"/>
    <n v="0"/>
    <x v="10"/>
    <x v="15"/>
    <x v="14"/>
  </r>
  <r>
    <n v="450"/>
    <x v="0"/>
    <n v="1"/>
    <n v="0"/>
    <n v="1"/>
    <x v="1"/>
    <b v="0"/>
    <x v="0"/>
    <x v="1"/>
    <n v="0.26"/>
    <n v="0.2576"/>
    <n v="0.56000000000000005"/>
    <n v="0.19400000000000001"/>
    <x v="8"/>
    <x v="14"/>
    <x v="15"/>
  </r>
  <r>
    <n v="542"/>
    <x v="11"/>
    <n v="1"/>
    <n v="0"/>
    <n v="1"/>
    <x v="2"/>
    <b v="0"/>
    <x v="4"/>
    <x v="0"/>
    <n v="0.14000000000000001"/>
    <n v="0.1212"/>
    <n v="0.5"/>
    <n v="0.25369999999999998"/>
    <x v="11"/>
    <x v="15"/>
    <x v="16"/>
  </r>
  <r>
    <n v="87"/>
    <x v="5"/>
    <n v="1"/>
    <n v="0"/>
    <n v="1"/>
    <x v="1"/>
    <b v="0"/>
    <x v="1"/>
    <x v="0"/>
    <n v="0.26"/>
    <n v="0.2576"/>
    <n v="0.48"/>
    <n v="0.19400000000000001"/>
    <x v="4"/>
    <x v="16"/>
    <x v="17"/>
  </r>
  <r>
    <n v="77"/>
    <x v="5"/>
    <n v="1"/>
    <n v="0"/>
    <n v="1"/>
    <x v="0"/>
    <b v="0"/>
    <x v="1"/>
    <x v="0"/>
    <n v="0.14000000000000001"/>
    <n v="0.1515"/>
    <n v="0.69"/>
    <n v="0.16420000000000001"/>
    <x v="0"/>
    <x v="17"/>
    <x v="18"/>
  </r>
  <r>
    <n v="227"/>
    <x v="10"/>
    <n v="1"/>
    <n v="0"/>
    <n v="1"/>
    <x v="2"/>
    <b v="0"/>
    <x v="4"/>
    <x v="0"/>
    <n v="0.2"/>
    <n v="0.2273"/>
    <n v="0.4"/>
    <n v="0.1045"/>
    <x v="9"/>
    <x v="18"/>
    <x v="19"/>
  </r>
  <r>
    <n v="533"/>
    <x v="11"/>
    <n v="1"/>
    <n v="0"/>
    <n v="1"/>
    <x v="0"/>
    <b v="0"/>
    <x v="4"/>
    <x v="0"/>
    <n v="0.04"/>
    <n v="0.13639999999999999"/>
    <n v="0.49"/>
    <n v="0"/>
    <x v="11"/>
    <x v="19"/>
    <x v="20"/>
  </r>
  <r>
    <n v="132"/>
    <x v="2"/>
    <n v="1"/>
    <n v="0"/>
    <n v="1"/>
    <x v="2"/>
    <b v="0"/>
    <x v="0"/>
    <x v="0"/>
    <n v="0.22"/>
    <n v="0.2273"/>
    <n v="0.51"/>
    <n v="0.16420000000000001"/>
    <x v="10"/>
    <x v="20"/>
    <x v="21"/>
  </r>
  <r>
    <n v="110"/>
    <x v="9"/>
    <n v="1"/>
    <n v="0"/>
    <n v="1"/>
    <x v="1"/>
    <b v="0"/>
    <x v="3"/>
    <x v="0"/>
    <n v="0.24"/>
    <n v="0.2424"/>
    <n v="0.38"/>
    <n v="0.1343"/>
    <x v="4"/>
    <x v="21"/>
    <x v="22"/>
  </r>
  <r>
    <n v="465"/>
    <x v="4"/>
    <n v="1"/>
    <n v="0"/>
    <n v="1"/>
    <x v="3"/>
    <b v="0"/>
    <x v="2"/>
    <x v="0"/>
    <n v="0.2"/>
    <n v="0.18179999999999999"/>
    <n v="0.51"/>
    <n v="0.35820000000000002"/>
    <x v="2"/>
    <x v="22"/>
    <x v="23"/>
  </r>
  <r>
    <n v="133"/>
    <x v="2"/>
    <n v="1"/>
    <n v="0"/>
    <n v="1"/>
    <x v="1"/>
    <b v="0"/>
    <x v="0"/>
    <x v="0"/>
    <n v="0.22"/>
    <n v="0.2273"/>
    <n v="0.51"/>
    <n v="0.1343"/>
    <x v="1"/>
    <x v="23"/>
    <x v="24"/>
  </r>
  <r>
    <n v="295"/>
    <x v="7"/>
    <n v="1"/>
    <n v="0"/>
    <n v="1"/>
    <x v="2"/>
    <b v="0"/>
    <x v="0"/>
    <x v="0"/>
    <n v="0.2"/>
    <n v="0.18179999999999999"/>
    <n v="0.4"/>
    <n v="0.28360000000000002"/>
    <x v="9"/>
    <x v="23"/>
    <x v="25"/>
  </r>
  <r>
    <n v="426"/>
    <x v="8"/>
    <n v="1"/>
    <n v="0"/>
    <n v="1"/>
    <x v="1"/>
    <b v="0"/>
    <x v="3"/>
    <x v="0"/>
    <n v="0.34"/>
    <n v="0.31819999999999998"/>
    <n v="0.61"/>
    <n v="0.28360000000000002"/>
    <x v="1"/>
    <x v="24"/>
    <x v="26"/>
  </r>
  <r>
    <n v="473"/>
    <x v="4"/>
    <n v="1"/>
    <n v="0"/>
    <n v="1"/>
    <x v="2"/>
    <b v="0"/>
    <x v="2"/>
    <x v="0"/>
    <n v="0.14000000000000001"/>
    <n v="0.1212"/>
    <n v="0.28000000000000003"/>
    <n v="0.35820000000000002"/>
    <x v="6"/>
    <x v="25"/>
    <x v="26"/>
  </r>
  <r>
    <n v="318"/>
    <x v="12"/>
    <n v="1"/>
    <n v="0"/>
    <n v="1"/>
    <x v="2"/>
    <b v="0"/>
    <x v="2"/>
    <x v="0"/>
    <n v="0.22"/>
    <n v="0.2273"/>
    <n v="0.41"/>
    <n v="0.16420000000000001"/>
    <x v="9"/>
    <x v="26"/>
    <x v="27"/>
  </r>
  <r>
    <n v="309"/>
    <x v="12"/>
    <n v="1"/>
    <n v="0"/>
    <n v="1"/>
    <x v="0"/>
    <b v="0"/>
    <x v="2"/>
    <x v="0"/>
    <n v="0.12"/>
    <n v="0.16669999999999999"/>
    <n v="0.68"/>
    <n v="0"/>
    <x v="0"/>
    <x v="24"/>
    <x v="28"/>
  </r>
  <r>
    <n v="63"/>
    <x v="13"/>
    <n v="1"/>
    <n v="0"/>
    <n v="1"/>
    <x v="2"/>
    <b v="0"/>
    <x v="4"/>
    <x v="0"/>
    <n v="0.24"/>
    <n v="0.2273"/>
    <n v="0.3"/>
    <n v="0.22389999999999999"/>
    <x v="12"/>
    <x v="27"/>
    <x v="29"/>
  </r>
  <r>
    <n v="64"/>
    <x v="13"/>
    <n v="1"/>
    <n v="0"/>
    <n v="1"/>
    <x v="1"/>
    <b v="0"/>
    <x v="4"/>
    <x v="0"/>
    <n v="0.24"/>
    <n v="0.2576"/>
    <n v="0.32"/>
    <n v="0.1045"/>
    <x v="10"/>
    <x v="28"/>
    <x v="29"/>
  </r>
  <r>
    <n v="603"/>
    <x v="14"/>
    <n v="1"/>
    <n v="0"/>
    <n v="1"/>
    <x v="0"/>
    <b v="0"/>
    <x v="2"/>
    <x v="1"/>
    <n v="0.16"/>
    <n v="0.19700000000000001"/>
    <n v="0.86"/>
    <n v="8.9599999999999999E-2"/>
    <x v="0"/>
    <x v="26"/>
    <x v="29"/>
  </r>
  <r>
    <n v="228"/>
    <x v="10"/>
    <n v="1"/>
    <n v="0"/>
    <n v="1"/>
    <x v="1"/>
    <b v="0"/>
    <x v="4"/>
    <x v="0"/>
    <n v="0.2"/>
    <n v="0.19700000000000001"/>
    <n v="0.4"/>
    <n v="0.22389999999999999"/>
    <x v="8"/>
    <x v="29"/>
    <x v="30"/>
  </r>
  <r>
    <n v="54"/>
    <x v="13"/>
    <n v="1"/>
    <n v="0"/>
    <n v="1"/>
    <x v="0"/>
    <b v="0"/>
    <x v="4"/>
    <x v="0"/>
    <n v="0.14000000000000001"/>
    <n v="0.1212"/>
    <n v="0.5"/>
    <n v="0.28360000000000002"/>
    <x v="8"/>
    <x v="30"/>
    <x v="31"/>
  </r>
  <r>
    <n v="543"/>
    <x v="11"/>
    <n v="1"/>
    <n v="0"/>
    <n v="1"/>
    <x v="1"/>
    <b v="0"/>
    <x v="4"/>
    <x v="0"/>
    <n v="0.14000000000000001"/>
    <n v="0.13639999999999999"/>
    <n v="0.59"/>
    <n v="0.19400000000000001"/>
    <x v="5"/>
    <x v="31"/>
    <x v="32"/>
  </r>
  <r>
    <n v="451"/>
    <x v="0"/>
    <n v="1"/>
    <n v="0"/>
    <n v="1"/>
    <x v="4"/>
    <b v="0"/>
    <x v="0"/>
    <x v="0"/>
    <n v="0.26"/>
    <n v="0.2273"/>
    <n v="0.56000000000000005"/>
    <n v="0.32840000000000003"/>
    <x v="11"/>
    <x v="27"/>
    <x v="33"/>
  </r>
  <r>
    <n v="567"/>
    <x v="1"/>
    <n v="1"/>
    <n v="0"/>
    <n v="1"/>
    <x v="4"/>
    <b v="0"/>
    <x v="1"/>
    <x v="1"/>
    <n v="0.26"/>
    <n v="0.2576"/>
    <n v="0.65"/>
    <n v="0.16420000000000001"/>
    <x v="13"/>
    <x v="32"/>
    <x v="34"/>
  </r>
  <r>
    <n v="296"/>
    <x v="7"/>
    <n v="1"/>
    <n v="0"/>
    <n v="1"/>
    <x v="1"/>
    <b v="0"/>
    <x v="0"/>
    <x v="0"/>
    <n v="0.2"/>
    <n v="0.18179999999999999"/>
    <n v="0.4"/>
    <n v="0.32840000000000003"/>
    <x v="4"/>
    <x v="33"/>
    <x v="35"/>
  </r>
  <r>
    <n v="557"/>
    <x v="1"/>
    <n v="1"/>
    <n v="0"/>
    <n v="1"/>
    <x v="3"/>
    <b v="0"/>
    <x v="1"/>
    <x v="1"/>
    <n v="0.2"/>
    <n v="0.2273"/>
    <n v="0.64"/>
    <n v="8.9599999999999999E-2"/>
    <x v="6"/>
    <x v="34"/>
    <x v="35"/>
  </r>
  <r>
    <n v="441"/>
    <x v="0"/>
    <n v="1"/>
    <n v="0"/>
    <n v="1"/>
    <x v="3"/>
    <b v="0"/>
    <x v="0"/>
    <x v="1"/>
    <n v="0.24"/>
    <n v="0.2273"/>
    <n v="0.52"/>
    <n v="0.22389999999999999"/>
    <x v="4"/>
    <x v="35"/>
    <x v="36"/>
  </r>
  <r>
    <n v="271"/>
    <x v="15"/>
    <n v="1"/>
    <n v="0"/>
    <n v="1"/>
    <x v="2"/>
    <b v="0"/>
    <x v="3"/>
    <x v="0"/>
    <n v="0.2"/>
    <n v="0.18179999999999999"/>
    <n v="0.47"/>
    <n v="0.35820000000000002"/>
    <x v="14"/>
    <x v="36"/>
    <x v="37"/>
  </r>
  <r>
    <n v="287"/>
    <x v="7"/>
    <n v="1"/>
    <n v="0"/>
    <n v="1"/>
    <x v="3"/>
    <b v="0"/>
    <x v="0"/>
    <x v="0"/>
    <n v="0.14000000000000001"/>
    <n v="0.1212"/>
    <n v="0.5"/>
    <n v="0.32840000000000003"/>
    <x v="0"/>
    <x v="37"/>
    <x v="37"/>
  </r>
  <r>
    <n v="319"/>
    <x v="12"/>
    <n v="1"/>
    <n v="0"/>
    <n v="1"/>
    <x v="1"/>
    <b v="0"/>
    <x v="2"/>
    <x v="0"/>
    <n v="0.2"/>
    <n v="0.2576"/>
    <n v="0.47"/>
    <n v="0"/>
    <x v="1"/>
    <x v="34"/>
    <x v="37"/>
  </r>
  <r>
    <n v="272"/>
    <x v="15"/>
    <n v="1"/>
    <n v="0"/>
    <n v="1"/>
    <x v="1"/>
    <b v="0"/>
    <x v="3"/>
    <x v="0"/>
    <n v="0.2"/>
    <n v="0.1515"/>
    <n v="0.47"/>
    <n v="0.52239999999999998"/>
    <x v="0"/>
    <x v="38"/>
    <x v="38"/>
  </r>
  <r>
    <n v="249"/>
    <x v="3"/>
    <n v="1"/>
    <n v="0"/>
    <n v="1"/>
    <x v="2"/>
    <b v="0"/>
    <x v="1"/>
    <x v="1"/>
    <n v="0.16"/>
    <n v="0.1515"/>
    <n v="0.86"/>
    <n v="0.22389999999999999"/>
    <x v="11"/>
    <x v="39"/>
    <x v="39"/>
  </r>
  <r>
    <n v="147"/>
    <x v="6"/>
    <n v="1"/>
    <n v="0"/>
    <n v="1"/>
    <x v="3"/>
    <b v="0"/>
    <x v="2"/>
    <x v="0"/>
    <n v="0.2"/>
    <n v="0.18179999999999999"/>
    <n v="0.47"/>
    <n v="0.29849999999999999"/>
    <x v="10"/>
    <x v="40"/>
    <x v="40"/>
  </r>
  <r>
    <n v="403"/>
    <x v="16"/>
    <n v="1"/>
    <n v="0"/>
    <n v="1"/>
    <x v="1"/>
    <b v="0"/>
    <x v="1"/>
    <x v="1"/>
    <n v="0.22"/>
    <n v="0.2273"/>
    <n v="0.8"/>
    <n v="0.16420000000000001"/>
    <x v="8"/>
    <x v="41"/>
    <x v="41"/>
  </r>
  <r>
    <n v="111"/>
    <x v="9"/>
    <n v="1"/>
    <n v="0"/>
    <n v="1"/>
    <x v="4"/>
    <b v="0"/>
    <x v="3"/>
    <x v="0"/>
    <n v="0.24"/>
    <n v="0.2576"/>
    <n v="0.38"/>
    <n v="0.1045"/>
    <x v="1"/>
    <x v="42"/>
    <x v="42"/>
  </r>
  <r>
    <n v="241"/>
    <x v="3"/>
    <n v="1"/>
    <n v="0"/>
    <n v="1"/>
    <x v="3"/>
    <b v="0"/>
    <x v="1"/>
    <x v="1"/>
    <n v="0.18"/>
    <n v="0.19700000000000001"/>
    <n v="0.51"/>
    <n v="0.16420000000000001"/>
    <x v="4"/>
    <x v="42"/>
    <x v="43"/>
  </r>
  <r>
    <n v="340"/>
    <x v="17"/>
    <n v="1"/>
    <n v="0"/>
    <n v="1"/>
    <x v="5"/>
    <b v="0"/>
    <x v="5"/>
    <x v="1"/>
    <n v="0.32"/>
    <n v="0.31819999999999998"/>
    <n v="0.36"/>
    <n v="0.19400000000000001"/>
    <x v="15"/>
    <x v="43"/>
    <x v="44"/>
  </r>
  <r>
    <n v="262"/>
    <x v="15"/>
    <n v="1"/>
    <n v="0"/>
    <n v="1"/>
    <x v="0"/>
    <b v="0"/>
    <x v="3"/>
    <x v="0"/>
    <n v="0.16"/>
    <n v="0.16669999999999999"/>
    <n v="0.59"/>
    <n v="0.16420000000000001"/>
    <x v="4"/>
    <x v="40"/>
    <x v="45"/>
  </r>
  <r>
    <n v="341"/>
    <x v="17"/>
    <n v="1"/>
    <n v="0"/>
    <n v="1"/>
    <x v="6"/>
    <b v="0"/>
    <x v="5"/>
    <x v="1"/>
    <n v="0.34"/>
    <n v="0.33329999999999999"/>
    <n v="0.34"/>
    <n v="0.19400000000000001"/>
    <x v="16"/>
    <x v="44"/>
    <x v="45"/>
  </r>
  <r>
    <n v="452"/>
    <x v="0"/>
    <n v="1"/>
    <n v="0"/>
    <n v="1"/>
    <x v="7"/>
    <b v="0"/>
    <x v="0"/>
    <x v="1"/>
    <n v="0.26"/>
    <n v="0.2424"/>
    <n v="0.6"/>
    <n v="0.28360000000000002"/>
    <x v="0"/>
    <x v="45"/>
    <x v="46"/>
  </r>
  <r>
    <n v="402"/>
    <x v="16"/>
    <n v="1"/>
    <n v="0"/>
    <n v="1"/>
    <x v="2"/>
    <b v="0"/>
    <x v="1"/>
    <x v="1"/>
    <n v="0.22"/>
    <n v="0.2273"/>
    <n v="0.82"/>
    <n v="0.19400000000000001"/>
    <x v="8"/>
    <x v="45"/>
    <x v="47"/>
  </r>
  <r>
    <n v="156"/>
    <x v="6"/>
    <n v="1"/>
    <n v="0"/>
    <n v="1"/>
    <x v="1"/>
    <b v="0"/>
    <x v="2"/>
    <x v="0"/>
    <n v="0.2"/>
    <n v="0.2273"/>
    <n v="0.4"/>
    <n v="8.9599999999999999E-2"/>
    <x v="2"/>
    <x v="46"/>
    <x v="48"/>
  </r>
  <r>
    <n v="124"/>
    <x v="2"/>
    <n v="1"/>
    <n v="0"/>
    <n v="1"/>
    <x v="3"/>
    <b v="0"/>
    <x v="0"/>
    <x v="1"/>
    <n v="0.18"/>
    <n v="0.2424"/>
    <n v="0.51"/>
    <n v="0"/>
    <x v="11"/>
    <x v="46"/>
    <x v="49"/>
  </r>
  <r>
    <n v="474"/>
    <x v="4"/>
    <n v="1"/>
    <n v="0"/>
    <n v="1"/>
    <x v="1"/>
    <b v="0"/>
    <x v="2"/>
    <x v="0"/>
    <n v="0.12"/>
    <n v="0.1212"/>
    <n v="0.3"/>
    <n v="0.25369999999999998"/>
    <x v="8"/>
    <x v="47"/>
    <x v="50"/>
  </r>
  <r>
    <n v="568"/>
    <x v="1"/>
    <n v="1"/>
    <n v="0"/>
    <n v="1"/>
    <x v="7"/>
    <b v="0"/>
    <x v="1"/>
    <x v="0"/>
    <n v="0.24"/>
    <n v="0.2273"/>
    <n v="0.65"/>
    <n v="0.19400000000000001"/>
    <x v="17"/>
    <x v="48"/>
    <x v="51"/>
  </r>
  <r>
    <n v="339"/>
    <x v="17"/>
    <n v="1"/>
    <n v="0"/>
    <n v="1"/>
    <x v="8"/>
    <b v="0"/>
    <x v="5"/>
    <x v="0"/>
    <n v="0.3"/>
    <n v="0.28789999999999999"/>
    <n v="0.39"/>
    <n v="0.28360000000000002"/>
    <x v="18"/>
    <x v="49"/>
    <x v="52"/>
  </r>
  <r>
    <n v="362"/>
    <x v="18"/>
    <n v="1"/>
    <n v="0"/>
    <n v="1"/>
    <x v="9"/>
    <b v="0"/>
    <x v="6"/>
    <x v="0"/>
    <n v="0.26"/>
    <n v="0.2273"/>
    <n v="0.35"/>
    <n v="0.29849999999999999"/>
    <x v="19"/>
    <x v="44"/>
    <x v="52"/>
  </r>
  <r>
    <n v="310"/>
    <x v="12"/>
    <n v="1"/>
    <n v="0"/>
    <n v="1"/>
    <x v="3"/>
    <b v="0"/>
    <x v="2"/>
    <x v="0"/>
    <n v="0.14000000000000001"/>
    <n v="0.1515"/>
    <n v="0.69"/>
    <n v="0.1343"/>
    <x v="14"/>
    <x v="50"/>
    <x v="53"/>
  </r>
  <r>
    <n v="514"/>
    <x v="19"/>
    <n v="1"/>
    <n v="0"/>
    <n v="1"/>
    <x v="10"/>
    <b v="0"/>
    <x v="6"/>
    <x v="0"/>
    <n v="0.16"/>
    <n v="0.1212"/>
    <n v="0.37"/>
    <n v="0.4627"/>
    <x v="20"/>
    <x v="49"/>
    <x v="54"/>
  </r>
  <r>
    <n v="564"/>
    <x v="1"/>
    <n v="1"/>
    <n v="0"/>
    <n v="1"/>
    <x v="6"/>
    <b v="0"/>
    <x v="1"/>
    <x v="1"/>
    <n v="0.32"/>
    <n v="0.34849999999999998"/>
    <n v="0.42"/>
    <n v="0"/>
    <x v="3"/>
    <x v="51"/>
    <x v="54"/>
  </r>
  <r>
    <n v="101"/>
    <x v="9"/>
    <n v="1"/>
    <n v="0"/>
    <n v="1"/>
    <x v="3"/>
    <b v="0"/>
    <x v="3"/>
    <x v="0"/>
    <n v="0.22"/>
    <n v="0.19700000000000001"/>
    <n v="0.37"/>
    <n v="0.32840000000000003"/>
    <x v="11"/>
    <x v="52"/>
    <x v="55"/>
  </r>
  <r>
    <n v="364"/>
    <x v="18"/>
    <n v="1"/>
    <n v="0"/>
    <n v="1"/>
    <x v="5"/>
    <b v="0"/>
    <x v="6"/>
    <x v="0"/>
    <n v="0.26"/>
    <n v="0.2424"/>
    <n v="0.38"/>
    <n v="0.25369999999999998"/>
    <x v="21"/>
    <x v="53"/>
    <x v="56"/>
  </r>
  <r>
    <n v="88"/>
    <x v="5"/>
    <n v="1"/>
    <n v="0"/>
    <n v="1"/>
    <x v="4"/>
    <b v="0"/>
    <x v="1"/>
    <x v="0"/>
    <n v="0.24"/>
    <n v="0.2576"/>
    <n v="0.48"/>
    <n v="0.1045"/>
    <x v="0"/>
    <x v="54"/>
    <x v="57"/>
  </r>
  <r>
    <n v="134"/>
    <x v="2"/>
    <n v="1"/>
    <n v="0"/>
    <n v="1"/>
    <x v="4"/>
    <b v="0"/>
    <x v="0"/>
    <x v="0"/>
    <n v="0.22"/>
    <n v="0.2576"/>
    <n v="0.55000000000000004"/>
    <n v="8.9599999999999999E-2"/>
    <x v="4"/>
    <x v="52"/>
    <x v="57"/>
  </r>
  <r>
    <n v="427"/>
    <x v="8"/>
    <n v="1"/>
    <n v="0"/>
    <n v="1"/>
    <x v="4"/>
    <b v="0"/>
    <x v="3"/>
    <x v="0"/>
    <n v="0.32"/>
    <n v="0.28789999999999999"/>
    <n v="0.56999999999999995"/>
    <n v="0.41789999999999999"/>
    <x v="9"/>
    <x v="43"/>
    <x v="57"/>
  </r>
  <r>
    <n v="16"/>
    <x v="20"/>
    <n v="1"/>
    <n v="0"/>
    <n v="1"/>
    <x v="5"/>
    <b v="0"/>
    <x v="5"/>
    <x v="1"/>
    <n v="0.44"/>
    <n v="0.43940000000000001"/>
    <n v="0.77"/>
    <n v="0.29849999999999999"/>
    <x v="22"/>
    <x v="55"/>
    <x v="58"/>
  </r>
  <r>
    <n v="65"/>
    <x v="13"/>
    <n v="1"/>
    <n v="0"/>
    <n v="1"/>
    <x v="4"/>
    <b v="0"/>
    <x v="4"/>
    <x v="0"/>
    <n v="0.2"/>
    <n v="0.2576"/>
    <n v="0.47"/>
    <n v="0"/>
    <x v="5"/>
    <x v="51"/>
    <x v="58"/>
  </r>
  <r>
    <n v="516"/>
    <x v="19"/>
    <n v="1"/>
    <n v="0"/>
    <n v="1"/>
    <x v="8"/>
    <b v="0"/>
    <x v="6"/>
    <x v="0"/>
    <n v="0.16"/>
    <n v="0.13639999999999999"/>
    <n v="0.28000000000000003"/>
    <n v="0.35820000000000002"/>
    <x v="23"/>
    <x v="56"/>
    <x v="58"/>
  </r>
  <r>
    <n v="417"/>
    <x v="8"/>
    <n v="1"/>
    <n v="0"/>
    <n v="1"/>
    <x v="3"/>
    <b v="0"/>
    <x v="3"/>
    <x v="1"/>
    <n v="0.24"/>
    <n v="0.2576"/>
    <n v="0.93"/>
    <n v="0.1045"/>
    <x v="0"/>
    <x v="57"/>
    <x v="59"/>
  </r>
  <r>
    <n v="555"/>
    <x v="1"/>
    <n v="1"/>
    <n v="0"/>
    <n v="1"/>
    <x v="11"/>
    <b v="0"/>
    <x v="1"/>
    <x v="0"/>
    <n v="0.16"/>
    <n v="0.1515"/>
    <n v="0.74"/>
    <n v="0.22389999999999999"/>
    <x v="1"/>
    <x v="48"/>
    <x v="60"/>
  </r>
  <r>
    <n v="15"/>
    <x v="20"/>
    <n v="1"/>
    <n v="0"/>
    <n v="1"/>
    <x v="8"/>
    <b v="0"/>
    <x v="5"/>
    <x v="1"/>
    <n v="0.46"/>
    <n v="0.45450000000000002"/>
    <n v="0.72"/>
    <n v="0.28360000000000002"/>
    <x v="21"/>
    <x v="58"/>
    <x v="61"/>
  </r>
  <r>
    <n v="544"/>
    <x v="11"/>
    <n v="1"/>
    <n v="0"/>
    <n v="1"/>
    <x v="4"/>
    <b v="0"/>
    <x v="4"/>
    <x v="0"/>
    <n v="0.14000000000000001"/>
    <n v="0.1515"/>
    <n v="0.54"/>
    <n v="0.16420000000000001"/>
    <x v="1"/>
    <x v="59"/>
    <x v="61"/>
  </r>
  <r>
    <n v="560"/>
    <x v="1"/>
    <n v="1"/>
    <n v="0"/>
    <n v="1"/>
    <x v="10"/>
    <b v="0"/>
    <x v="1"/>
    <x v="1"/>
    <n v="0.26"/>
    <n v="0.28789999999999999"/>
    <n v="0.56000000000000005"/>
    <n v="8.9599999999999999E-2"/>
    <x v="15"/>
    <x v="60"/>
    <x v="61"/>
  </r>
  <r>
    <n v="366"/>
    <x v="18"/>
    <n v="1"/>
    <n v="0"/>
    <n v="1"/>
    <x v="2"/>
    <b v="0"/>
    <x v="6"/>
    <x v="0"/>
    <n v="0.22"/>
    <n v="0.21210000000000001"/>
    <n v="0.37"/>
    <n v="0.25369999999999998"/>
    <x v="19"/>
    <x v="61"/>
    <x v="62"/>
  </r>
  <r>
    <n v="361"/>
    <x v="18"/>
    <n v="1"/>
    <n v="0"/>
    <n v="1"/>
    <x v="10"/>
    <b v="0"/>
    <x v="6"/>
    <x v="0"/>
    <n v="0.24"/>
    <n v="0.21210000000000001"/>
    <n v="0.41"/>
    <n v="0.28360000000000002"/>
    <x v="24"/>
    <x v="62"/>
    <x v="63"/>
  </r>
  <r>
    <n v="424"/>
    <x v="8"/>
    <n v="1"/>
    <n v="0"/>
    <n v="1"/>
    <x v="6"/>
    <b v="0"/>
    <x v="3"/>
    <x v="0"/>
    <n v="0.38"/>
    <n v="0.39389999999999997"/>
    <n v="0.57999999999999996"/>
    <n v="0.3881"/>
    <x v="6"/>
    <x v="63"/>
    <x v="63"/>
  </r>
  <r>
    <n v="590"/>
    <x v="21"/>
    <n v="1"/>
    <n v="0"/>
    <n v="1"/>
    <x v="1"/>
    <b v="0"/>
    <x v="0"/>
    <x v="0"/>
    <n v="0.2"/>
    <n v="0.2273"/>
    <n v="0.69"/>
    <n v="8.9599999999999999E-2"/>
    <x v="4"/>
    <x v="59"/>
    <x v="63"/>
  </r>
  <r>
    <n v="494"/>
    <x v="22"/>
    <n v="1"/>
    <n v="0"/>
    <n v="1"/>
    <x v="5"/>
    <b v="0"/>
    <x v="5"/>
    <x v="0"/>
    <n v="0.12"/>
    <n v="0.1515"/>
    <n v="0.28000000000000003"/>
    <n v="0"/>
    <x v="6"/>
    <x v="56"/>
    <x v="64"/>
  </r>
  <r>
    <n v="175"/>
    <x v="23"/>
    <n v="1"/>
    <n v="0"/>
    <n v="1"/>
    <x v="9"/>
    <b v="0"/>
    <x v="5"/>
    <x v="0"/>
    <n v="0.2"/>
    <n v="0.18179999999999999"/>
    <n v="0.44"/>
    <n v="0.32840000000000003"/>
    <x v="2"/>
    <x v="44"/>
    <x v="65"/>
  </r>
  <r>
    <n v="534"/>
    <x v="11"/>
    <n v="1"/>
    <n v="0"/>
    <n v="1"/>
    <x v="3"/>
    <b v="0"/>
    <x v="4"/>
    <x v="0"/>
    <n v="0.06"/>
    <n v="0.1515"/>
    <n v="0.41"/>
    <n v="0"/>
    <x v="9"/>
    <x v="64"/>
    <x v="65"/>
  </r>
  <r>
    <n v="338"/>
    <x v="17"/>
    <n v="1"/>
    <n v="0"/>
    <n v="1"/>
    <x v="9"/>
    <b v="0"/>
    <x v="5"/>
    <x v="0"/>
    <n v="0.28000000000000003"/>
    <n v="0.2576"/>
    <n v="0.38"/>
    <n v="0.29849999999999999"/>
    <x v="15"/>
    <x v="65"/>
    <x v="66"/>
  </r>
  <r>
    <n v="439"/>
    <x v="0"/>
    <n v="1"/>
    <n v="0"/>
    <n v="1"/>
    <x v="11"/>
    <b v="0"/>
    <x v="0"/>
    <x v="0"/>
    <n v="0.22"/>
    <n v="0.21210000000000001"/>
    <n v="0.55000000000000004"/>
    <n v="0.22389999999999999"/>
    <x v="8"/>
    <x v="66"/>
    <x v="66"/>
  </r>
  <r>
    <n v="604"/>
    <x v="14"/>
    <n v="1"/>
    <n v="0"/>
    <n v="1"/>
    <x v="3"/>
    <b v="0"/>
    <x v="2"/>
    <x v="2"/>
    <n v="0.18"/>
    <n v="0.21210000000000001"/>
    <n v="0.86"/>
    <n v="8.9599999999999999E-2"/>
    <x v="11"/>
    <x v="44"/>
    <x v="66"/>
  </r>
  <r>
    <n v="78"/>
    <x v="5"/>
    <n v="1"/>
    <n v="0"/>
    <n v="1"/>
    <x v="3"/>
    <b v="0"/>
    <x v="1"/>
    <x v="0"/>
    <n v="0.16"/>
    <n v="0.1515"/>
    <n v="0.64"/>
    <n v="0.22389999999999999"/>
    <x v="0"/>
    <x v="64"/>
    <x v="67"/>
  </r>
  <r>
    <n v="239"/>
    <x v="3"/>
    <n v="1"/>
    <n v="0"/>
    <n v="1"/>
    <x v="11"/>
    <b v="0"/>
    <x v="1"/>
    <x v="1"/>
    <n v="0.16"/>
    <n v="0.2273"/>
    <n v="0.55000000000000004"/>
    <n v="0"/>
    <x v="0"/>
    <x v="67"/>
    <x v="68"/>
  </r>
  <r>
    <n v="297"/>
    <x v="7"/>
    <n v="1"/>
    <n v="0"/>
    <n v="1"/>
    <x v="4"/>
    <b v="0"/>
    <x v="0"/>
    <x v="0"/>
    <n v="0.16"/>
    <n v="0.1515"/>
    <n v="0.47"/>
    <n v="0.25369999999999998"/>
    <x v="8"/>
    <x v="64"/>
    <x v="68"/>
  </r>
  <r>
    <n v="365"/>
    <x v="18"/>
    <n v="1"/>
    <n v="0"/>
    <n v="1"/>
    <x v="6"/>
    <b v="0"/>
    <x v="6"/>
    <x v="0"/>
    <n v="0.24"/>
    <n v="0.2273"/>
    <n v="0.38"/>
    <n v="0.22389999999999999"/>
    <x v="25"/>
    <x v="68"/>
    <x v="68"/>
  </r>
  <r>
    <n v="404"/>
    <x v="16"/>
    <n v="1"/>
    <n v="0"/>
    <n v="1"/>
    <x v="4"/>
    <b v="0"/>
    <x v="1"/>
    <x v="1"/>
    <n v="0.22"/>
    <n v="0.2273"/>
    <n v="0.8"/>
    <n v="0.1343"/>
    <x v="8"/>
    <x v="64"/>
    <x v="68"/>
  </r>
  <r>
    <n v="513"/>
    <x v="19"/>
    <n v="1"/>
    <n v="0"/>
    <n v="1"/>
    <x v="12"/>
    <b v="0"/>
    <x v="6"/>
    <x v="0"/>
    <n v="0.14000000000000001"/>
    <n v="0.13639999999999999"/>
    <n v="0.43"/>
    <n v="0.22389999999999999"/>
    <x v="25"/>
    <x v="68"/>
    <x v="68"/>
  </r>
  <r>
    <n v="174"/>
    <x v="23"/>
    <n v="1"/>
    <n v="0"/>
    <n v="1"/>
    <x v="10"/>
    <b v="0"/>
    <x v="5"/>
    <x v="1"/>
    <n v="0.2"/>
    <n v="0.18179999999999999"/>
    <n v="0.59"/>
    <n v="0.35820000000000002"/>
    <x v="5"/>
    <x v="69"/>
    <x v="69"/>
  </r>
  <r>
    <n v="445"/>
    <x v="0"/>
    <n v="1"/>
    <n v="0"/>
    <n v="1"/>
    <x v="9"/>
    <b v="0"/>
    <x v="0"/>
    <x v="1"/>
    <n v="0.28000000000000003"/>
    <n v="0.28789999999999999"/>
    <n v="0.45"/>
    <n v="0.1045"/>
    <x v="26"/>
    <x v="70"/>
    <x v="69"/>
  </r>
  <r>
    <n v="82"/>
    <x v="5"/>
    <n v="1"/>
    <n v="0"/>
    <n v="1"/>
    <x v="9"/>
    <b v="0"/>
    <x v="1"/>
    <x v="0"/>
    <n v="0.24"/>
    <n v="0.2273"/>
    <n v="0.56000000000000005"/>
    <n v="0.19400000000000001"/>
    <x v="27"/>
    <x v="71"/>
    <x v="70"/>
  </r>
  <r>
    <n v="472"/>
    <x v="4"/>
    <n v="1"/>
    <n v="0"/>
    <n v="1"/>
    <x v="6"/>
    <b v="0"/>
    <x v="2"/>
    <x v="0"/>
    <n v="0.16"/>
    <n v="0.13639999999999999"/>
    <n v="0.26"/>
    <n v="0.35820000000000002"/>
    <x v="14"/>
    <x v="67"/>
    <x v="70"/>
  </r>
  <r>
    <n v="475"/>
    <x v="4"/>
    <n v="1"/>
    <n v="0"/>
    <n v="1"/>
    <x v="4"/>
    <b v="0"/>
    <x v="2"/>
    <x v="0"/>
    <n v="0.12"/>
    <n v="0.1061"/>
    <n v="0.3"/>
    <n v="0.32840000000000003"/>
    <x v="4"/>
    <x v="56"/>
    <x v="71"/>
  </r>
  <r>
    <n v="122"/>
    <x v="2"/>
    <n v="1"/>
    <n v="0"/>
    <n v="1"/>
    <x v="11"/>
    <b v="0"/>
    <x v="0"/>
    <x v="1"/>
    <n v="0.16"/>
    <n v="0.2273"/>
    <n v="0.59"/>
    <n v="0"/>
    <x v="14"/>
    <x v="44"/>
    <x v="72"/>
  </r>
  <r>
    <n v="157"/>
    <x v="6"/>
    <n v="1"/>
    <n v="0"/>
    <n v="1"/>
    <x v="4"/>
    <b v="0"/>
    <x v="2"/>
    <x v="0"/>
    <n v="0.16"/>
    <n v="0.19700000000000001"/>
    <n v="0.55000000000000004"/>
    <n v="8.9599999999999999E-2"/>
    <x v="4"/>
    <x v="49"/>
    <x v="72"/>
  </r>
  <r>
    <n v="176"/>
    <x v="23"/>
    <n v="1"/>
    <n v="0"/>
    <n v="1"/>
    <x v="8"/>
    <b v="0"/>
    <x v="5"/>
    <x v="0"/>
    <n v="0.2"/>
    <n v="0.16669999999999999"/>
    <n v="0.32"/>
    <n v="0.49249999999999999"/>
    <x v="26"/>
    <x v="72"/>
    <x v="72"/>
  </r>
  <r>
    <n v="229"/>
    <x v="10"/>
    <n v="1"/>
    <n v="0"/>
    <n v="1"/>
    <x v="4"/>
    <b v="0"/>
    <x v="4"/>
    <x v="0"/>
    <n v="0.16"/>
    <n v="0.16669999999999999"/>
    <n v="0.47"/>
    <n v="0.16420000000000001"/>
    <x v="4"/>
    <x v="49"/>
    <x v="72"/>
  </r>
  <r>
    <n v="250"/>
    <x v="3"/>
    <n v="1"/>
    <n v="0"/>
    <n v="1"/>
    <x v="1"/>
    <b v="0"/>
    <x v="1"/>
    <x v="2"/>
    <n v="0.16"/>
    <n v="0.18179999999999999"/>
    <n v="0.93"/>
    <n v="0.1045"/>
    <x v="8"/>
    <x v="63"/>
    <x v="72"/>
  </r>
  <r>
    <n v="14"/>
    <x v="20"/>
    <n v="1"/>
    <n v="0"/>
    <n v="1"/>
    <x v="9"/>
    <b v="0"/>
    <x v="5"/>
    <x v="1"/>
    <n v="0.46"/>
    <n v="0.45450000000000002"/>
    <n v="0.72"/>
    <n v="0.29849999999999999"/>
    <x v="28"/>
    <x v="73"/>
    <x v="73"/>
  </r>
  <r>
    <n v="76"/>
    <x v="5"/>
    <n v="1"/>
    <n v="0"/>
    <n v="1"/>
    <x v="11"/>
    <b v="0"/>
    <x v="1"/>
    <x v="0"/>
    <n v="0.12"/>
    <n v="0.1515"/>
    <n v="0.74"/>
    <n v="0.1343"/>
    <x v="0"/>
    <x v="49"/>
    <x v="73"/>
  </r>
  <r>
    <n v="219"/>
    <x v="10"/>
    <n v="1"/>
    <n v="0"/>
    <n v="1"/>
    <x v="3"/>
    <b v="0"/>
    <x v="4"/>
    <x v="1"/>
    <n v="0.14000000000000001"/>
    <n v="0.1212"/>
    <n v="0.5"/>
    <n v="0.25369999999999998"/>
    <x v="0"/>
    <x v="49"/>
    <x v="73"/>
  </r>
  <r>
    <n v="17"/>
    <x v="20"/>
    <n v="1"/>
    <n v="0"/>
    <n v="1"/>
    <x v="6"/>
    <b v="0"/>
    <x v="5"/>
    <x v="1"/>
    <n v="0.42"/>
    <n v="0.42420000000000002"/>
    <n v="0.82"/>
    <n v="0.29849999999999999"/>
    <x v="29"/>
    <x v="74"/>
    <x v="74"/>
  </r>
  <r>
    <n v="36"/>
    <x v="24"/>
    <n v="1"/>
    <n v="0"/>
    <n v="1"/>
    <x v="10"/>
    <b v="0"/>
    <x v="6"/>
    <x v="1"/>
    <n v="0.36"/>
    <n v="0.33329999999999999"/>
    <n v="0.66"/>
    <n v="0.29849999999999999"/>
    <x v="7"/>
    <x v="75"/>
    <x v="74"/>
  </r>
  <r>
    <n v="360"/>
    <x v="18"/>
    <n v="1"/>
    <n v="0"/>
    <n v="1"/>
    <x v="12"/>
    <b v="0"/>
    <x v="6"/>
    <x v="0"/>
    <n v="0.24"/>
    <n v="0.2273"/>
    <n v="0.44"/>
    <n v="0.25369999999999998"/>
    <x v="19"/>
    <x v="55"/>
    <x v="74"/>
  </r>
  <r>
    <n v="386"/>
    <x v="25"/>
    <n v="1"/>
    <n v="0"/>
    <n v="1"/>
    <x v="9"/>
    <b v="1"/>
    <x v="4"/>
    <x v="1"/>
    <n v="0.18"/>
    <n v="0.19700000000000001"/>
    <n v="0.47"/>
    <n v="0.1343"/>
    <x v="13"/>
    <x v="65"/>
    <x v="74"/>
  </r>
  <r>
    <n v="388"/>
    <x v="25"/>
    <n v="1"/>
    <n v="0"/>
    <n v="1"/>
    <x v="5"/>
    <b v="1"/>
    <x v="4"/>
    <x v="1"/>
    <n v="0.2"/>
    <n v="0.21210000000000001"/>
    <n v="0.47"/>
    <n v="0.16420000000000001"/>
    <x v="15"/>
    <x v="76"/>
    <x v="74"/>
  </r>
  <r>
    <n v="561"/>
    <x v="1"/>
    <n v="1"/>
    <n v="0"/>
    <n v="1"/>
    <x v="9"/>
    <b v="0"/>
    <x v="1"/>
    <x v="1"/>
    <n v="0.26"/>
    <n v="0.2727"/>
    <n v="0.56000000000000005"/>
    <n v="0.1343"/>
    <x v="15"/>
    <x v="76"/>
    <x v="74"/>
  </r>
  <r>
    <n v="202"/>
    <x v="26"/>
    <n v="1"/>
    <n v="0"/>
    <n v="1"/>
    <x v="6"/>
    <b v="0"/>
    <x v="6"/>
    <x v="0"/>
    <n v="0.2"/>
    <n v="0.16669999999999999"/>
    <n v="0.34"/>
    <n v="0.44779999999999998"/>
    <x v="13"/>
    <x v="71"/>
    <x v="75"/>
  </r>
  <r>
    <n v="320"/>
    <x v="12"/>
    <n v="1"/>
    <n v="0"/>
    <n v="1"/>
    <x v="4"/>
    <b v="0"/>
    <x v="2"/>
    <x v="0"/>
    <n v="0.16"/>
    <n v="0.19700000000000001"/>
    <n v="0.59"/>
    <n v="8.9599999999999999E-2"/>
    <x v="4"/>
    <x v="77"/>
    <x v="75"/>
  </r>
  <r>
    <n v="391"/>
    <x v="25"/>
    <n v="1"/>
    <n v="0"/>
    <n v="1"/>
    <x v="1"/>
    <b v="1"/>
    <x v="4"/>
    <x v="1"/>
    <n v="0.18"/>
    <n v="0.16669999999999999"/>
    <n v="0.55000000000000004"/>
    <n v="0.25369999999999998"/>
    <x v="2"/>
    <x v="60"/>
    <x v="75"/>
  </r>
  <r>
    <n v="363"/>
    <x v="18"/>
    <n v="1"/>
    <n v="0"/>
    <n v="1"/>
    <x v="8"/>
    <b v="0"/>
    <x v="6"/>
    <x v="0"/>
    <n v="0.28000000000000003"/>
    <n v="0.2727"/>
    <n v="0.36"/>
    <n v="0.25369999999999998"/>
    <x v="25"/>
    <x v="78"/>
    <x v="76"/>
  </r>
  <r>
    <n v="448"/>
    <x v="0"/>
    <n v="1"/>
    <n v="0"/>
    <n v="1"/>
    <x v="6"/>
    <b v="0"/>
    <x v="0"/>
    <x v="1"/>
    <n v="0.3"/>
    <n v="0.30299999999999999"/>
    <n v="0.49"/>
    <n v="0.1343"/>
    <x v="5"/>
    <x v="72"/>
    <x v="76"/>
  </r>
  <r>
    <n v="317"/>
    <x v="12"/>
    <n v="1"/>
    <n v="0"/>
    <n v="1"/>
    <x v="6"/>
    <b v="0"/>
    <x v="2"/>
    <x v="0"/>
    <n v="0.22"/>
    <n v="0.2424"/>
    <n v="0.41"/>
    <n v="0.1045"/>
    <x v="4"/>
    <x v="79"/>
    <x v="77"/>
  </r>
  <r>
    <n v="415"/>
    <x v="8"/>
    <n v="1"/>
    <n v="0"/>
    <n v="1"/>
    <x v="11"/>
    <b v="0"/>
    <x v="3"/>
    <x v="1"/>
    <n v="0.24"/>
    <n v="0.2576"/>
    <n v="0.92"/>
    <n v="0.1045"/>
    <x v="8"/>
    <x v="77"/>
    <x v="77"/>
  </r>
  <r>
    <n v="108"/>
    <x v="9"/>
    <n v="1"/>
    <n v="0"/>
    <n v="1"/>
    <x v="6"/>
    <b v="0"/>
    <x v="3"/>
    <x v="0"/>
    <n v="0.3"/>
    <n v="0.31819999999999998"/>
    <n v="0.28000000000000003"/>
    <n v="8.9599999999999999E-2"/>
    <x v="9"/>
    <x v="60"/>
    <x v="78"/>
  </r>
  <r>
    <n v="112"/>
    <x v="9"/>
    <n v="1"/>
    <n v="0"/>
    <n v="1"/>
    <x v="7"/>
    <b v="0"/>
    <x v="3"/>
    <x v="0"/>
    <n v="0.22"/>
    <n v="0.2273"/>
    <n v="0.47"/>
    <n v="0.16420000000000001"/>
    <x v="2"/>
    <x v="61"/>
    <x v="78"/>
  </r>
  <r>
    <n v="337"/>
    <x v="17"/>
    <n v="1"/>
    <n v="0"/>
    <n v="1"/>
    <x v="10"/>
    <b v="0"/>
    <x v="5"/>
    <x v="0"/>
    <n v="0.24"/>
    <n v="0.2273"/>
    <n v="0.48"/>
    <n v="0.22389999999999999"/>
    <x v="30"/>
    <x v="80"/>
    <x v="78"/>
  </r>
  <r>
    <n v="55"/>
    <x v="13"/>
    <n v="1"/>
    <n v="0"/>
    <n v="1"/>
    <x v="3"/>
    <b v="0"/>
    <x v="4"/>
    <x v="0"/>
    <n v="0.16"/>
    <n v="0.13639999999999999"/>
    <n v="0.43"/>
    <n v="0.3881"/>
    <x v="2"/>
    <x v="81"/>
    <x v="79"/>
  </r>
  <r>
    <n v="99"/>
    <x v="9"/>
    <n v="1"/>
    <n v="0"/>
    <n v="1"/>
    <x v="11"/>
    <b v="0"/>
    <x v="3"/>
    <x v="0"/>
    <n v="0.18"/>
    <n v="0.18179999999999999"/>
    <n v="0.43"/>
    <n v="0.19400000000000001"/>
    <x v="8"/>
    <x v="79"/>
    <x v="79"/>
  </r>
  <r>
    <n v="154"/>
    <x v="6"/>
    <n v="1"/>
    <n v="0"/>
    <n v="1"/>
    <x v="6"/>
    <b v="0"/>
    <x v="2"/>
    <x v="1"/>
    <n v="0.2"/>
    <n v="0.21210000000000001"/>
    <n v="0.37"/>
    <n v="0.16420000000000001"/>
    <x v="1"/>
    <x v="61"/>
    <x v="80"/>
  </r>
  <r>
    <n v="515"/>
    <x v="19"/>
    <n v="1"/>
    <n v="0"/>
    <n v="1"/>
    <x v="9"/>
    <b v="0"/>
    <x v="6"/>
    <x v="0"/>
    <n v="0.14000000000000001"/>
    <n v="0.1061"/>
    <n v="0.33"/>
    <n v="0.3881"/>
    <x v="26"/>
    <x v="62"/>
    <x v="80"/>
  </r>
  <r>
    <n v="131"/>
    <x v="2"/>
    <n v="1"/>
    <n v="0"/>
    <n v="1"/>
    <x v="6"/>
    <b v="0"/>
    <x v="0"/>
    <x v="0"/>
    <n v="0.26"/>
    <n v="0.2576"/>
    <n v="0.38"/>
    <n v="0.16420000000000001"/>
    <x v="26"/>
    <x v="80"/>
    <x v="81"/>
  </r>
  <r>
    <n v="387"/>
    <x v="25"/>
    <n v="1"/>
    <n v="0"/>
    <n v="1"/>
    <x v="8"/>
    <b v="1"/>
    <x v="4"/>
    <x v="1"/>
    <n v="0.18"/>
    <n v="0.21210000000000001"/>
    <n v="0.43"/>
    <n v="0.1045"/>
    <x v="26"/>
    <x v="80"/>
    <x v="81"/>
  </r>
  <r>
    <n v="13"/>
    <x v="20"/>
    <n v="1"/>
    <n v="0"/>
    <n v="1"/>
    <x v="10"/>
    <b v="0"/>
    <x v="5"/>
    <x v="0"/>
    <n v="0.42"/>
    <n v="0.42420000000000002"/>
    <n v="0.77"/>
    <n v="0.28360000000000002"/>
    <x v="24"/>
    <x v="82"/>
    <x v="82"/>
  </r>
  <r>
    <n v="127"/>
    <x v="2"/>
    <n v="1"/>
    <n v="0"/>
    <n v="1"/>
    <x v="10"/>
    <b v="0"/>
    <x v="0"/>
    <x v="0"/>
    <n v="0.26"/>
    <n v="0.28789999999999999"/>
    <n v="0.35"/>
    <n v="0"/>
    <x v="11"/>
    <x v="53"/>
    <x v="82"/>
  </r>
  <r>
    <n v="145"/>
    <x v="6"/>
    <n v="1"/>
    <n v="0"/>
    <n v="1"/>
    <x v="11"/>
    <b v="0"/>
    <x v="2"/>
    <x v="0"/>
    <n v="0.2"/>
    <n v="0.21210000000000001"/>
    <n v="0.69"/>
    <n v="0.1343"/>
    <x v="5"/>
    <x v="83"/>
    <x v="82"/>
  </r>
  <r>
    <n v="343"/>
    <x v="17"/>
    <n v="1"/>
    <n v="0"/>
    <n v="1"/>
    <x v="1"/>
    <b v="0"/>
    <x v="5"/>
    <x v="1"/>
    <n v="0.3"/>
    <n v="0.28789999999999999"/>
    <n v="0.45"/>
    <n v="0.25369999999999998"/>
    <x v="30"/>
    <x v="78"/>
    <x v="82"/>
  </r>
  <r>
    <n v="444"/>
    <x v="0"/>
    <n v="1"/>
    <n v="0"/>
    <n v="1"/>
    <x v="10"/>
    <b v="0"/>
    <x v="0"/>
    <x v="1"/>
    <n v="0.3"/>
    <n v="0.33329999999999999"/>
    <n v="0.42"/>
    <n v="0"/>
    <x v="2"/>
    <x v="68"/>
    <x v="82"/>
  </r>
  <r>
    <n v="492"/>
    <x v="22"/>
    <n v="1"/>
    <n v="0"/>
    <n v="1"/>
    <x v="9"/>
    <b v="0"/>
    <x v="5"/>
    <x v="0"/>
    <n v="0.08"/>
    <n v="0.16669999999999999"/>
    <n v="0.35"/>
    <n v="0"/>
    <x v="26"/>
    <x v="76"/>
    <x v="82"/>
  </r>
  <r>
    <n v="532"/>
    <x v="11"/>
    <n v="1"/>
    <n v="0"/>
    <n v="1"/>
    <x v="11"/>
    <b v="0"/>
    <x v="4"/>
    <x v="0"/>
    <n v="0.02"/>
    <n v="0.1212"/>
    <n v="0.48"/>
    <n v="0"/>
    <x v="1"/>
    <x v="71"/>
    <x v="82"/>
  </r>
  <r>
    <n v="563"/>
    <x v="1"/>
    <n v="1"/>
    <n v="0"/>
    <n v="1"/>
    <x v="5"/>
    <b v="0"/>
    <x v="1"/>
    <x v="1"/>
    <n v="0.32"/>
    <n v="0.34849999999999998"/>
    <n v="0.42"/>
    <n v="0"/>
    <x v="15"/>
    <x v="84"/>
    <x v="82"/>
  </r>
  <r>
    <n v="589"/>
    <x v="21"/>
    <n v="1"/>
    <n v="0"/>
    <n v="1"/>
    <x v="2"/>
    <b v="0"/>
    <x v="0"/>
    <x v="0"/>
    <n v="0.22"/>
    <n v="0.2424"/>
    <n v="0.55000000000000004"/>
    <n v="0.1045"/>
    <x v="0"/>
    <x v="61"/>
    <x v="82"/>
  </r>
  <r>
    <n v="85"/>
    <x v="5"/>
    <n v="1"/>
    <n v="0"/>
    <n v="1"/>
    <x v="6"/>
    <b v="0"/>
    <x v="1"/>
    <x v="0"/>
    <n v="0.3"/>
    <n v="0.28789999999999999"/>
    <n v="0.49"/>
    <n v="0.25369999999999998"/>
    <x v="30"/>
    <x v="85"/>
    <x v="83"/>
  </r>
  <r>
    <n v="198"/>
    <x v="26"/>
    <n v="1"/>
    <n v="0"/>
    <n v="1"/>
    <x v="10"/>
    <b v="0"/>
    <x v="6"/>
    <x v="0"/>
    <n v="0.18"/>
    <n v="0.13639999999999999"/>
    <n v="0.37"/>
    <n v="0.44779999999999998"/>
    <x v="9"/>
    <x v="71"/>
    <x v="83"/>
  </r>
  <r>
    <n v="273"/>
    <x v="15"/>
    <n v="1"/>
    <n v="0"/>
    <n v="1"/>
    <x v="4"/>
    <b v="0"/>
    <x v="3"/>
    <x v="0"/>
    <n v="0.18"/>
    <n v="0.1515"/>
    <n v="0.47"/>
    <n v="0.41789999999999999"/>
    <x v="8"/>
    <x v="61"/>
    <x v="83"/>
  </r>
  <r>
    <n v="291"/>
    <x v="7"/>
    <n v="1"/>
    <n v="0"/>
    <n v="1"/>
    <x v="9"/>
    <b v="0"/>
    <x v="0"/>
    <x v="0"/>
    <n v="0.22"/>
    <n v="0.19700000000000001"/>
    <n v="0.41"/>
    <n v="0.44779999999999998"/>
    <x v="0"/>
    <x v="81"/>
    <x v="83"/>
  </r>
  <r>
    <n v="342"/>
    <x v="17"/>
    <n v="1"/>
    <n v="0"/>
    <n v="1"/>
    <x v="2"/>
    <b v="0"/>
    <x v="5"/>
    <x v="1"/>
    <n v="0.32"/>
    <n v="0.30299999999999999"/>
    <n v="0.36"/>
    <n v="0.28360000000000002"/>
    <x v="24"/>
    <x v="86"/>
    <x v="83"/>
  </r>
  <r>
    <n v="405"/>
    <x v="16"/>
    <n v="1"/>
    <n v="0"/>
    <n v="1"/>
    <x v="7"/>
    <b v="0"/>
    <x v="1"/>
    <x v="1"/>
    <n v="0.22"/>
    <n v="0.2727"/>
    <n v="0.87"/>
    <n v="0"/>
    <x v="14"/>
    <x v="72"/>
    <x v="83"/>
  </r>
  <r>
    <n v="495"/>
    <x v="22"/>
    <n v="1"/>
    <n v="0"/>
    <n v="1"/>
    <x v="6"/>
    <b v="0"/>
    <x v="5"/>
    <x v="0"/>
    <n v="0.12"/>
    <n v="0.13639999999999999"/>
    <n v="0.28000000000000003"/>
    <n v="0.19400000000000001"/>
    <x v="12"/>
    <x v="76"/>
    <x v="83"/>
  </r>
  <r>
    <n v="201"/>
    <x v="26"/>
    <n v="1"/>
    <n v="0"/>
    <n v="1"/>
    <x v="5"/>
    <b v="0"/>
    <x v="6"/>
    <x v="0"/>
    <n v="0.22"/>
    <n v="0.19700000000000001"/>
    <n v="0.35"/>
    <n v="0.35820000000000002"/>
    <x v="1"/>
    <x v="68"/>
    <x v="84"/>
  </r>
  <r>
    <n v="389"/>
    <x v="25"/>
    <n v="1"/>
    <n v="0"/>
    <n v="1"/>
    <x v="6"/>
    <b v="1"/>
    <x v="4"/>
    <x v="1"/>
    <n v="0.2"/>
    <n v="0.21210000000000001"/>
    <n v="0.47"/>
    <n v="0.16420000000000001"/>
    <x v="11"/>
    <x v="83"/>
    <x v="84"/>
  </r>
  <r>
    <n v="423"/>
    <x v="8"/>
    <n v="1"/>
    <n v="0"/>
    <n v="1"/>
    <x v="5"/>
    <b v="0"/>
    <x v="3"/>
    <x v="0"/>
    <n v="0.4"/>
    <n v="0.40910000000000002"/>
    <n v="0.54"/>
    <n v="0.28360000000000002"/>
    <x v="9"/>
    <x v="53"/>
    <x v="84"/>
  </r>
  <r>
    <n v="263"/>
    <x v="15"/>
    <n v="1"/>
    <n v="0"/>
    <n v="1"/>
    <x v="3"/>
    <b v="0"/>
    <x v="3"/>
    <x v="0"/>
    <n v="0.16"/>
    <n v="0.13639999999999999"/>
    <n v="0.59"/>
    <n v="0.32840000000000003"/>
    <x v="4"/>
    <x v="53"/>
    <x v="85"/>
  </r>
  <r>
    <n v="446"/>
    <x v="0"/>
    <n v="1"/>
    <n v="0"/>
    <n v="1"/>
    <x v="8"/>
    <b v="0"/>
    <x v="0"/>
    <x v="1"/>
    <n v="0.3"/>
    <n v="0.30299999999999999"/>
    <n v="0.45"/>
    <n v="0.1343"/>
    <x v="11"/>
    <x v="62"/>
    <x v="85"/>
  </r>
  <r>
    <n v="545"/>
    <x v="11"/>
    <n v="1"/>
    <n v="0"/>
    <n v="1"/>
    <x v="7"/>
    <b v="0"/>
    <x v="4"/>
    <x v="0"/>
    <n v="0.14000000000000001"/>
    <n v="0.13639999999999999"/>
    <n v="0.59"/>
    <n v="0.19400000000000001"/>
    <x v="8"/>
    <x v="65"/>
    <x v="85"/>
  </r>
  <r>
    <n v="385"/>
    <x v="25"/>
    <n v="1"/>
    <n v="0"/>
    <n v="1"/>
    <x v="10"/>
    <b v="1"/>
    <x v="4"/>
    <x v="1"/>
    <n v="0.18"/>
    <n v="0.19700000000000001"/>
    <n v="0.47"/>
    <n v="0.1343"/>
    <x v="6"/>
    <x v="55"/>
    <x v="86"/>
  </r>
  <r>
    <n v="104"/>
    <x v="9"/>
    <n v="1"/>
    <n v="0"/>
    <n v="1"/>
    <x v="10"/>
    <b v="0"/>
    <x v="3"/>
    <x v="0"/>
    <n v="0.26"/>
    <n v="0.2273"/>
    <n v="0.33"/>
    <n v="0.32840000000000003"/>
    <x v="1"/>
    <x v="80"/>
    <x v="87"/>
  </r>
  <r>
    <n v="359"/>
    <x v="18"/>
    <n v="1"/>
    <n v="0"/>
    <n v="1"/>
    <x v="13"/>
    <b v="0"/>
    <x v="6"/>
    <x v="0"/>
    <n v="0.22"/>
    <n v="0.21210000000000001"/>
    <n v="0.51"/>
    <n v="0.28360000000000002"/>
    <x v="5"/>
    <x v="58"/>
    <x v="87"/>
  </r>
  <r>
    <n v="591"/>
    <x v="21"/>
    <n v="1"/>
    <n v="0"/>
    <n v="1"/>
    <x v="4"/>
    <b v="0"/>
    <x v="0"/>
    <x v="0"/>
    <n v="0.2"/>
    <n v="0.2273"/>
    <n v="0.69"/>
    <n v="8.9599999999999999E-2"/>
    <x v="4"/>
    <x v="83"/>
    <x v="87"/>
  </r>
  <r>
    <n v="81"/>
    <x v="5"/>
    <n v="1"/>
    <n v="0"/>
    <n v="1"/>
    <x v="10"/>
    <b v="0"/>
    <x v="1"/>
    <x v="0"/>
    <n v="0.22"/>
    <n v="0.2273"/>
    <n v="0.51"/>
    <n v="0.16420000000000001"/>
    <x v="26"/>
    <x v="87"/>
    <x v="88"/>
  </r>
  <r>
    <n v="294"/>
    <x v="7"/>
    <n v="1"/>
    <n v="0"/>
    <n v="1"/>
    <x v="6"/>
    <b v="0"/>
    <x v="0"/>
    <x v="0"/>
    <n v="0.24"/>
    <n v="0.21210000000000001"/>
    <n v="0.38"/>
    <n v="0.35820000000000002"/>
    <x v="0"/>
    <x v="83"/>
    <x v="88"/>
  </r>
  <r>
    <n v="421"/>
    <x v="8"/>
    <n v="1"/>
    <n v="0"/>
    <n v="1"/>
    <x v="9"/>
    <b v="0"/>
    <x v="3"/>
    <x v="0"/>
    <n v="0.4"/>
    <n v="0.40910000000000002"/>
    <n v="0.62"/>
    <n v="0.28360000000000002"/>
    <x v="12"/>
    <x v="88"/>
    <x v="88"/>
  </r>
  <r>
    <n v="468"/>
    <x v="4"/>
    <n v="1"/>
    <n v="0"/>
    <n v="1"/>
    <x v="10"/>
    <b v="0"/>
    <x v="2"/>
    <x v="0"/>
    <n v="0.22"/>
    <n v="0.18179999999999999"/>
    <n v="0.27"/>
    <n v="0.58209999999999995"/>
    <x v="12"/>
    <x v="88"/>
    <x v="88"/>
  </r>
  <r>
    <n v="60"/>
    <x v="13"/>
    <n v="1"/>
    <n v="0"/>
    <n v="1"/>
    <x v="8"/>
    <b v="0"/>
    <x v="4"/>
    <x v="0"/>
    <n v="0.26"/>
    <n v="0.2424"/>
    <n v="0.3"/>
    <n v="0.28360000000000002"/>
    <x v="12"/>
    <x v="87"/>
    <x v="89"/>
  </r>
  <r>
    <n v="217"/>
    <x v="10"/>
    <n v="1"/>
    <n v="0"/>
    <n v="1"/>
    <x v="11"/>
    <b v="0"/>
    <x v="4"/>
    <x v="0"/>
    <n v="0.12"/>
    <n v="0.1212"/>
    <n v="0.5"/>
    <n v="0.22389999999999999"/>
    <x v="0"/>
    <x v="62"/>
    <x v="89"/>
  </r>
  <r>
    <n v="314"/>
    <x v="12"/>
    <n v="1"/>
    <n v="0"/>
    <n v="1"/>
    <x v="9"/>
    <b v="0"/>
    <x v="2"/>
    <x v="0"/>
    <n v="0.22"/>
    <n v="0.19700000000000001"/>
    <n v="0.37"/>
    <n v="0.3881"/>
    <x v="9"/>
    <x v="75"/>
    <x v="89"/>
  </r>
  <r>
    <n v="517"/>
    <x v="19"/>
    <n v="1"/>
    <n v="0"/>
    <n v="1"/>
    <x v="5"/>
    <b v="0"/>
    <x v="6"/>
    <x v="0"/>
    <n v="0.16"/>
    <n v="0.13639999999999999"/>
    <n v="0.28000000000000003"/>
    <n v="0.35820000000000002"/>
    <x v="13"/>
    <x v="89"/>
    <x v="89"/>
  </r>
  <r>
    <n v="40"/>
    <x v="24"/>
    <n v="1"/>
    <n v="0"/>
    <n v="1"/>
    <x v="6"/>
    <b v="0"/>
    <x v="6"/>
    <x v="2"/>
    <n v="0.34"/>
    <n v="0.33329999999999999"/>
    <n v="0.71"/>
    <n v="0.16420000000000001"/>
    <x v="10"/>
    <x v="88"/>
    <x v="90"/>
  </r>
  <r>
    <n v="62"/>
    <x v="13"/>
    <n v="1"/>
    <n v="0"/>
    <n v="1"/>
    <x v="6"/>
    <b v="0"/>
    <x v="4"/>
    <x v="0"/>
    <n v="0.26"/>
    <n v="0.2424"/>
    <n v="0.3"/>
    <n v="0.25369999999999998"/>
    <x v="10"/>
    <x v="88"/>
    <x v="90"/>
  </r>
  <r>
    <n v="178"/>
    <x v="23"/>
    <n v="1"/>
    <n v="0"/>
    <n v="1"/>
    <x v="6"/>
    <b v="0"/>
    <x v="5"/>
    <x v="0"/>
    <n v="0.18"/>
    <n v="0.13639999999999999"/>
    <n v="0.28999999999999998"/>
    <n v="0.44779999999999998"/>
    <x v="5"/>
    <x v="85"/>
    <x v="90"/>
  </r>
  <r>
    <n v="248"/>
    <x v="3"/>
    <n v="1"/>
    <n v="0"/>
    <n v="1"/>
    <x v="6"/>
    <b v="0"/>
    <x v="1"/>
    <x v="1"/>
    <n v="0.16"/>
    <n v="0.1515"/>
    <n v="0.86"/>
    <n v="0.22389999999999999"/>
    <x v="9"/>
    <x v="76"/>
    <x v="90"/>
  </r>
  <r>
    <n v="428"/>
    <x v="8"/>
    <n v="1"/>
    <n v="0"/>
    <n v="1"/>
    <x v="7"/>
    <b v="0"/>
    <x v="3"/>
    <x v="0"/>
    <n v="0.32"/>
    <n v="0.30299999999999999"/>
    <n v="0.49"/>
    <n v="0.29849999999999999"/>
    <x v="0"/>
    <x v="80"/>
    <x v="90"/>
  </r>
  <r>
    <n v="37"/>
    <x v="24"/>
    <n v="1"/>
    <n v="0"/>
    <n v="1"/>
    <x v="9"/>
    <b v="0"/>
    <x v="6"/>
    <x v="1"/>
    <n v="0.36"/>
    <n v="0.34849999999999998"/>
    <n v="0.66"/>
    <n v="0.1343"/>
    <x v="12"/>
    <x v="89"/>
    <x v="91"/>
  </r>
  <r>
    <n v="199"/>
    <x v="26"/>
    <n v="1"/>
    <n v="0"/>
    <n v="1"/>
    <x v="9"/>
    <b v="0"/>
    <x v="6"/>
    <x v="0"/>
    <n v="0.2"/>
    <n v="0.16669999999999999"/>
    <n v="0.34"/>
    <n v="0.44779999999999998"/>
    <x v="11"/>
    <x v="78"/>
    <x v="91"/>
  </r>
  <r>
    <n v="422"/>
    <x v="8"/>
    <n v="1"/>
    <n v="0"/>
    <n v="1"/>
    <x v="8"/>
    <b v="0"/>
    <x v="3"/>
    <x v="0"/>
    <n v="0.4"/>
    <n v="0.40910000000000002"/>
    <n v="0.57999999999999996"/>
    <n v="0.25369999999999998"/>
    <x v="2"/>
    <x v="85"/>
    <x v="91"/>
  </r>
  <r>
    <n v="493"/>
    <x v="22"/>
    <n v="1"/>
    <n v="0"/>
    <n v="1"/>
    <x v="8"/>
    <b v="0"/>
    <x v="5"/>
    <x v="0"/>
    <n v="0.1"/>
    <n v="0.13639999999999999"/>
    <n v="0.33"/>
    <n v="0.1045"/>
    <x v="12"/>
    <x v="89"/>
    <x v="91"/>
  </r>
  <r>
    <n v="39"/>
    <x v="24"/>
    <n v="1"/>
    <n v="0"/>
    <n v="1"/>
    <x v="5"/>
    <b v="0"/>
    <x v="6"/>
    <x v="2"/>
    <n v="0.34"/>
    <n v="0.33329999999999999"/>
    <n v="0.81"/>
    <n v="0.16420000000000001"/>
    <x v="31"/>
    <x v="82"/>
    <x v="92"/>
  </r>
  <r>
    <n v="177"/>
    <x v="23"/>
    <n v="1"/>
    <n v="0"/>
    <n v="1"/>
    <x v="5"/>
    <b v="0"/>
    <x v="5"/>
    <x v="0"/>
    <n v="0.2"/>
    <n v="0.16669999999999999"/>
    <n v="0.32"/>
    <n v="0.44779999999999998"/>
    <x v="1"/>
    <x v="78"/>
    <x v="92"/>
  </r>
  <r>
    <n v="226"/>
    <x v="10"/>
    <n v="1"/>
    <n v="0"/>
    <n v="1"/>
    <x v="6"/>
    <b v="0"/>
    <x v="4"/>
    <x v="0"/>
    <n v="0.2"/>
    <n v="0.21210000000000001"/>
    <n v="0.4"/>
    <n v="0.1343"/>
    <x v="9"/>
    <x v="55"/>
    <x v="92"/>
  </r>
  <r>
    <n v="230"/>
    <x v="10"/>
    <n v="1"/>
    <n v="0"/>
    <n v="1"/>
    <x v="7"/>
    <b v="0"/>
    <x v="4"/>
    <x v="0"/>
    <n v="0.16"/>
    <n v="0.16669999999999999"/>
    <n v="0.5"/>
    <n v="0.16420000000000001"/>
    <x v="8"/>
    <x v="75"/>
    <x v="92"/>
  </r>
  <r>
    <n v="344"/>
    <x v="17"/>
    <n v="1"/>
    <n v="0"/>
    <n v="1"/>
    <x v="4"/>
    <b v="0"/>
    <x v="5"/>
    <x v="1"/>
    <n v="0.32"/>
    <n v="0.30299999999999999"/>
    <n v="0.39"/>
    <n v="0.25369999999999998"/>
    <x v="3"/>
    <x v="90"/>
    <x v="92"/>
  </r>
  <r>
    <n v="151"/>
    <x v="6"/>
    <n v="1"/>
    <n v="0"/>
    <n v="1"/>
    <x v="9"/>
    <b v="0"/>
    <x v="2"/>
    <x v="1"/>
    <n v="0.2"/>
    <n v="0.18179999999999999"/>
    <n v="0.37"/>
    <n v="0.28360000000000002"/>
    <x v="10"/>
    <x v="89"/>
    <x v="93"/>
  </r>
  <r>
    <n v="469"/>
    <x v="4"/>
    <n v="1"/>
    <n v="0"/>
    <n v="1"/>
    <x v="9"/>
    <b v="0"/>
    <x v="2"/>
    <x v="0"/>
    <n v="0.2"/>
    <n v="0.1515"/>
    <n v="0.21"/>
    <n v="0.58209999999999995"/>
    <x v="5"/>
    <x v="91"/>
    <x v="93"/>
  </r>
  <r>
    <n v="61"/>
    <x v="13"/>
    <n v="1"/>
    <n v="0"/>
    <n v="1"/>
    <x v="5"/>
    <b v="0"/>
    <x v="4"/>
    <x v="0"/>
    <n v="0.26"/>
    <n v="0.2424"/>
    <n v="0.3"/>
    <n v="0.25369999999999998"/>
    <x v="3"/>
    <x v="92"/>
    <x v="94"/>
  </r>
  <r>
    <n v="153"/>
    <x v="6"/>
    <n v="1"/>
    <n v="0"/>
    <n v="1"/>
    <x v="5"/>
    <b v="0"/>
    <x v="2"/>
    <x v="1"/>
    <n v="0.2"/>
    <n v="0.21210000000000001"/>
    <n v="0.37"/>
    <n v="0.16420000000000001"/>
    <x v="10"/>
    <x v="84"/>
    <x v="94"/>
  </r>
  <r>
    <n v="200"/>
    <x v="26"/>
    <n v="1"/>
    <n v="0"/>
    <n v="1"/>
    <x v="8"/>
    <b v="0"/>
    <x v="6"/>
    <x v="0"/>
    <n v="0.22"/>
    <n v="0.18179999999999999"/>
    <n v="0.32"/>
    <n v="0.4627"/>
    <x v="5"/>
    <x v="89"/>
    <x v="94"/>
  </r>
  <r>
    <n v="285"/>
    <x v="7"/>
    <n v="1"/>
    <n v="0"/>
    <n v="1"/>
    <x v="11"/>
    <b v="0"/>
    <x v="0"/>
    <x v="0"/>
    <n v="0.12"/>
    <n v="0.1515"/>
    <n v="0.54"/>
    <n v="0.1343"/>
    <x v="14"/>
    <x v="76"/>
    <x v="94"/>
  </r>
  <r>
    <n v="336"/>
    <x v="17"/>
    <n v="1"/>
    <n v="0"/>
    <n v="1"/>
    <x v="12"/>
    <b v="0"/>
    <x v="5"/>
    <x v="0"/>
    <n v="0.2"/>
    <n v="0.19700000000000001"/>
    <n v="0.55000000000000004"/>
    <n v="0.22389999999999999"/>
    <x v="27"/>
    <x v="86"/>
    <x v="94"/>
  </r>
  <r>
    <n v="578"/>
    <x v="27"/>
    <n v="1"/>
    <n v="0"/>
    <n v="1"/>
    <x v="0"/>
    <b v="0"/>
    <x v="3"/>
    <x v="2"/>
    <n v="0.22"/>
    <n v="0.21210000000000001"/>
    <n v="0.87"/>
    <n v="0.29849999999999999"/>
    <x v="4"/>
    <x v="78"/>
    <x v="94"/>
  </r>
  <r>
    <n v="105"/>
    <x v="9"/>
    <n v="1"/>
    <n v="0"/>
    <n v="1"/>
    <x v="9"/>
    <b v="0"/>
    <x v="3"/>
    <x v="0"/>
    <n v="0.28000000000000003"/>
    <n v="0.2576"/>
    <n v="0.3"/>
    <n v="0.29849999999999999"/>
    <x v="11"/>
    <x v="91"/>
    <x v="95"/>
  </r>
  <r>
    <n v="390"/>
    <x v="25"/>
    <n v="1"/>
    <n v="0"/>
    <n v="1"/>
    <x v="2"/>
    <b v="1"/>
    <x v="4"/>
    <x v="0"/>
    <n v="0.2"/>
    <n v="0.19700000000000001"/>
    <n v="0.51"/>
    <n v="0.19400000000000001"/>
    <x v="9"/>
    <x v="88"/>
    <x v="95"/>
  </r>
  <r>
    <n v="35"/>
    <x v="24"/>
    <n v="1"/>
    <n v="0"/>
    <n v="1"/>
    <x v="12"/>
    <b v="0"/>
    <x v="6"/>
    <x v="1"/>
    <n v="0.36"/>
    <n v="0.33329999999999999"/>
    <n v="0.71"/>
    <n v="0.25369999999999998"/>
    <x v="17"/>
    <x v="86"/>
    <x v="96"/>
  </r>
  <r>
    <n v="129"/>
    <x v="2"/>
    <n v="1"/>
    <n v="0"/>
    <n v="1"/>
    <x v="8"/>
    <b v="0"/>
    <x v="0"/>
    <x v="0"/>
    <n v="0.28000000000000003"/>
    <n v="0.2727"/>
    <n v="0.36"/>
    <n v="0.16420000000000001"/>
    <x v="12"/>
    <x v="93"/>
    <x v="96"/>
  </r>
  <r>
    <n v="308"/>
    <x v="12"/>
    <n v="1"/>
    <n v="0"/>
    <n v="1"/>
    <x v="11"/>
    <b v="0"/>
    <x v="2"/>
    <x v="0"/>
    <n v="0.1"/>
    <n v="0.1212"/>
    <n v="0.74"/>
    <n v="0.16420000000000001"/>
    <x v="14"/>
    <x v="55"/>
    <x v="96"/>
  </r>
  <r>
    <n v="420"/>
    <x v="8"/>
    <n v="1"/>
    <n v="0"/>
    <n v="1"/>
    <x v="10"/>
    <b v="0"/>
    <x v="3"/>
    <x v="1"/>
    <n v="0.3"/>
    <n v="0.31819999999999998"/>
    <n v="0.81"/>
    <n v="8.9599999999999999E-2"/>
    <x v="1"/>
    <x v="91"/>
    <x v="96"/>
  </r>
  <r>
    <n v="447"/>
    <x v="0"/>
    <n v="1"/>
    <n v="0"/>
    <n v="1"/>
    <x v="5"/>
    <b v="0"/>
    <x v="0"/>
    <x v="1"/>
    <n v="0.32"/>
    <n v="0.31819999999999998"/>
    <n v="0.45"/>
    <n v="0.19400000000000001"/>
    <x v="5"/>
    <x v="94"/>
    <x v="96"/>
  </r>
  <r>
    <n v="491"/>
    <x v="22"/>
    <n v="1"/>
    <n v="0"/>
    <n v="1"/>
    <x v="10"/>
    <b v="0"/>
    <x v="5"/>
    <x v="1"/>
    <n v="0.06"/>
    <n v="0.1061"/>
    <n v="0.38"/>
    <n v="0.1045"/>
    <x v="6"/>
    <x v="90"/>
    <x v="96"/>
  </r>
  <r>
    <n v="541"/>
    <x v="11"/>
    <n v="1"/>
    <n v="0"/>
    <n v="1"/>
    <x v="6"/>
    <b v="0"/>
    <x v="4"/>
    <x v="0"/>
    <n v="0.16"/>
    <n v="0.1515"/>
    <n v="0.47"/>
    <n v="0.25369999999999998"/>
    <x v="9"/>
    <x v="87"/>
    <x v="96"/>
  </r>
  <r>
    <n v="135"/>
    <x v="2"/>
    <n v="1"/>
    <n v="0"/>
    <n v="1"/>
    <x v="7"/>
    <b v="0"/>
    <x v="0"/>
    <x v="0"/>
    <n v="0.2"/>
    <n v="0.21210000000000001"/>
    <n v="0.51"/>
    <n v="0.16420000000000001"/>
    <x v="4"/>
    <x v="87"/>
    <x v="97"/>
  </r>
  <r>
    <n v="179"/>
    <x v="23"/>
    <n v="1"/>
    <n v="0"/>
    <n v="1"/>
    <x v="2"/>
    <b v="0"/>
    <x v="5"/>
    <x v="0"/>
    <n v="0.16"/>
    <n v="0.1212"/>
    <n v="0.37"/>
    <n v="0.55220000000000002"/>
    <x v="1"/>
    <x v="89"/>
    <x v="97"/>
  </r>
  <r>
    <n v="270"/>
    <x v="15"/>
    <n v="1"/>
    <n v="0"/>
    <n v="1"/>
    <x v="6"/>
    <b v="0"/>
    <x v="3"/>
    <x v="0"/>
    <n v="0.22"/>
    <n v="0.19700000000000001"/>
    <n v="0.44"/>
    <n v="0.32840000000000003"/>
    <x v="1"/>
    <x v="84"/>
    <x v="98"/>
  </r>
  <r>
    <n v="316"/>
    <x v="12"/>
    <n v="1"/>
    <n v="0"/>
    <n v="1"/>
    <x v="5"/>
    <b v="0"/>
    <x v="2"/>
    <x v="0"/>
    <n v="0.24"/>
    <n v="0.2424"/>
    <n v="0.38"/>
    <n v="0.16420000000000001"/>
    <x v="10"/>
    <x v="93"/>
    <x v="98"/>
  </r>
  <r>
    <n v="321"/>
    <x v="12"/>
    <n v="1"/>
    <n v="0"/>
    <n v="1"/>
    <x v="7"/>
    <b v="0"/>
    <x v="2"/>
    <x v="0"/>
    <n v="0.18"/>
    <n v="0.2424"/>
    <n v="0.59"/>
    <n v="0"/>
    <x v="14"/>
    <x v="85"/>
    <x v="98"/>
  </r>
  <r>
    <n v="443"/>
    <x v="0"/>
    <n v="1"/>
    <n v="0"/>
    <n v="1"/>
    <x v="12"/>
    <b v="0"/>
    <x v="0"/>
    <x v="1"/>
    <n v="0.28000000000000003"/>
    <n v="0.2727"/>
    <n v="0.45"/>
    <n v="0.16420000000000001"/>
    <x v="1"/>
    <x v="84"/>
    <x v="98"/>
  </r>
  <r>
    <n v="463"/>
    <x v="4"/>
    <n v="1"/>
    <n v="0"/>
    <n v="1"/>
    <x v="11"/>
    <b v="0"/>
    <x v="2"/>
    <x v="0"/>
    <n v="0.2"/>
    <n v="0.18179999999999999"/>
    <n v="0.51"/>
    <n v="0.28360000000000002"/>
    <x v="0"/>
    <x v="87"/>
    <x v="98"/>
  </r>
  <r>
    <n v="562"/>
    <x v="1"/>
    <n v="1"/>
    <n v="0"/>
    <n v="1"/>
    <x v="8"/>
    <b v="0"/>
    <x v="1"/>
    <x v="1"/>
    <n v="0.3"/>
    <n v="0.33329999999999999"/>
    <n v="0.45"/>
    <n v="0"/>
    <x v="12"/>
    <x v="95"/>
    <x v="98"/>
  </r>
  <r>
    <n v="18"/>
    <x v="20"/>
    <n v="1"/>
    <n v="0"/>
    <n v="1"/>
    <x v="2"/>
    <b v="0"/>
    <x v="5"/>
    <x v="1"/>
    <n v="0.44"/>
    <m/>
    <n v="0.82"/>
    <n v="0.28360000000000002"/>
    <x v="30"/>
    <x v="74"/>
    <x v="99"/>
  </r>
  <r>
    <n v="128"/>
    <x v="2"/>
    <n v="1"/>
    <n v="0"/>
    <n v="1"/>
    <x v="9"/>
    <b v="0"/>
    <x v="0"/>
    <x v="0"/>
    <n v="0.26"/>
    <n v="0.2727"/>
    <n v="0.35"/>
    <n v="0.1045"/>
    <x v="26"/>
    <x v="82"/>
    <x v="99"/>
  </r>
  <r>
    <n v="149"/>
    <x v="6"/>
    <n v="1"/>
    <n v="0"/>
    <n v="1"/>
    <x v="12"/>
    <b v="0"/>
    <x v="2"/>
    <x v="1"/>
    <n v="0.2"/>
    <n v="0.19700000000000001"/>
    <n v="0.4"/>
    <n v="0.22389999999999999"/>
    <x v="31"/>
    <x v="96"/>
    <x v="99"/>
  </r>
  <r>
    <n v="367"/>
    <x v="18"/>
    <n v="1"/>
    <n v="0"/>
    <n v="1"/>
    <x v="1"/>
    <b v="0"/>
    <x v="6"/>
    <x v="0"/>
    <n v="0.2"/>
    <n v="0.21210000000000001"/>
    <n v="0.4"/>
    <n v="0.16420000000000001"/>
    <x v="12"/>
    <x v="97"/>
    <x v="99"/>
  </r>
  <r>
    <n v="496"/>
    <x v="22"/>
    <n v="1"/>
    <n v="0"/>
    <n v="1"/>
    <x v="2"/>
    <b v="0"/>
    <x v="5"/>
    <x v="0"/>
    <n v="0.12"/>
    <n v="0.19700000000000001"/>
    <n v="0.28000000000000003"/>
    <n v="0"/>
    <x v="5"/>
    <x v="93"/>
    <x v="99"/>
  </r>
  <r>
    <n v="41"/>
    <x v="24"/>
    <n v="1"/>
    <n v="0"/>
    <n v="1"/>
    <x v="2"/>
    <b v="0"/>
    <x v="6"/>
    <x v="0"/>
    <n v="0.34"/>
    <n v="0.33329999999999999"/>
    <n v="0.56999999999999995"/>
    <n v="0.19400000000000001"/>
    <x v="2"/>
    <x v="92"/>
    <x v="100"/>
  </r>
  <r>
    <n v="84"/>
    <x v="5"/>
    <n v="1"/>
    <n v="0"/>
    <n v="1"/>
    <x v="5"/>
    <b v="0"/>
    <x v="1"/>
    <x v="0"/>
    <n v="0.28000000000000003"/>
    <n v="0.2727"/>
    <n v="0.52"/>
    <n v="0.25369999999999998"/>
    <x v="23"/>
    <x v="96"/>
    <x v="100"/>
  </r>
  <r>
    <n v="471"/>
    <x v="4"/>
    <n v="1"/>
    <n v="0"/>
    <n v="1"/>
    <x v="5"/>
    <b v="0"/>
    <x v="2"/>
    <x v="0"/>
    <n v="0.16"/>
    <n v="0.1212"/>
    <n v="0.26"/>
    <n v="0.44779999999999998"/>
    <x v="9"/>
    <x v="98"/>
    <x v="100"/>
  </r>
  <r>
    <n v="518"/>
    <x v="19"/>
    <n v="1"/>
    <n v="0"/>
    <n v="1"/>
    <x v="6"/>
    <b v="0"/>
    <x v="6"/>
    <x v="0"/>
    <n v="0.16"/>
    <n v="0.13639999999999999"/>
    <n v="0.26"/>
    <n v="0.32840000000000003"/>
    <x v="10"/>
    <x v="97"/>
    <x v="100"/>
  </r>
  <r>
    <n v="53"/>
    <x v="13"/>
    <n v="1"/>
    <n v="0"/>
    <n v="1"/>
    <x v="11"/>
    <b v="0"/>
    <x v="4"/>
    <x v="0"/>
    <n v="0.14000000000000001"/>
    <n v="0.13639999999999999"/>
    <n v="0.5"/>
    <n v="0.19400000000000001"/>
    <x v="8"/>
    <x v="84"/>
    <x v="101"/>
  </r>
  <r>
    <n v="298"/>
    <x v="7"/>
    <n v="1"/>
    <n v="0"/>
    <n v="1"/>
    <x v="7"/>
    <b v="0"/>
    <x v="0"/>
    <x v="0"/>
    <n v="0.16"/>
    <n v="0.1515"/>
    <n v="0.47"/>
    <n v="0.22389999999999999"/>
    <x v="14"/>
    <x v="89"/>
    <x v="101"/>
  </r>
  <r>
    <n v="315"/>
    <x v="12"/>
    <n v="1"/>
    <n v="0"/>
    <n v="1"/>
    <x v="8"/>
    <b v="0"/>
    <x v="2"/>
    <x v="0"/>
    <n v="0.22"/>
    <n v="0.21210000000000001"/>
    <n v="0.41"/>
    <n v="0.28360000000000002"/>
    <x v="1"/>
    <x v="93"/>
    <x v="101"/>
  </r>
  <r>
    <n v="384"/>
    <x v="25"/>
    <n v="1"/>
    <n v="0"/>
    <n v="1"/>
    <x v="12"/>
    <b v="1"/>
    <x v="4"/>
    <x v="1"/>
    <n v="0.16"/>
    <n v="0.1515"/>
    <n v="0.55000000000000004"/>
    <n v="0.19400000000000001"/>
    <x v="10"/>
    <x v="82"/>
    <x v="101"/>
  </r>
  <r>
    <n v="83"/>
    <x v="5"/>
    <n v="1"/>
    <n v="0"/>
    <n v="1"/>
    <x v="8"/>
    <b v="0"/>
    <x v="1"/>
    <x v="0"/>
    <n v="0.26"/>
    <n v="0.2576"/>
    <n v="0.52"/>
    <n v="0.22389999999999999"/>
    <x v="10"/>
    <x v="86"/>
    <x v="102"/>
  </r>
  <r>
    <n v="148"/>
    <x v="6"/>
    <n v="1"/>
    <n v="0"/>
    <n v="1"/>
    <x v="13"/>
    <b v="0"/>
    <x v="2"/>
    <x v="0"/>
    <n v="0.22"/>
    <n v="0.19700000000000001"/>
    <n v="0.37"/>
    <n v="0.32840000000000003"/>
    <x v="17"/>
    <x v="73"/>
    <x v="102"/>
  </r>
  <r>
    <n v="246"/>
    <x v="3"/>
    <n v="1"/>
    <n v="0"/>
    <n v="1"/>
    <x v="8"/>
    <b v="0"/>
    <x v="1"/>
    <x v="1"/>
    <n v="0.2"/>
    <n v="0.2273"/>
    <n v="0.59"/>
    <n v="8.9599999999999999E-2"/>
    <x v="4"/>
    <x v="90"/>
    <x v="102"/>
  </r>
  <r>
    <n v="466"/>
    <x v="4"/>
    <n v="1"/>
    <n v="0"/>
    <n v="1"/>
    <x v="13"/>
    <b v="0"/>
    <x v="2"/>
    <x v="0"/>
    <n v="0.2"/>
    <n v="0.16669999999999999"/>
    <n v="0.47"/>
    <n v="0.4627"/>
    <x v="11"/>
    <x v="95"/>
    <x v="102"/>
  </r>
  <r>
    <n v="490"/>
    <x v="22"/>
    <n v="1"/>
    <n v="0"/>
    <n v="1"/>
    <x v="12"/>
    <b v="0"/>
    <x v="5"/>
    <x v="1"/>
    <n v="0.06"/>
    <n v="7.5800000000000006E-2"/>
    <n v="0.38"/>
    <n v="0.1343"/>
    <x v="9"/>
    <x v="93"/>
    <x v="102"/>
  </r>
  <r>
    <n v="537"/>
    <x v="11"/>
    <n v="1"/>
    <n v="0"/>
    <n v="1"/>
    <x v="10"/>
    <b v="0"/>
    <x v="4"/>
    <x v="1"/>
    <n v="0.12"/>
    <n v="0.13639999999999999"/>
    <n v="0.42"/>
    <n v="0.19400000000000001"/>
    <x v="12"/>
    <x v="74"/>
    <x v="102"/>
  </r>
  <r>
    <n v="106"/>
    <x v="9"/>
    <n v="1"/>
    <n v="0"/>
    <n v="1"/>
    <x v="8"/>
    <b v="0"/>
    <x v="3"/>
    <x v="0"/>
    <n v="0.3"/>
    <n v="0.28789999999999999"/>
    <n v="0.28000000000000003"/>
    <n v="0.19400000000000001"/>
    <x v="6"/>
    <x v="74"/>
    <x v="103"/>
  </r>
  <r>
    <n v="107"/>
    <x v="9"/>
    <n v="1"/>
    <n v="0"/>
    <n v="1"/>
    <x v="5"/>
    <b v="0"/>
    <x v="3"/>
    <x v="0"/>
    <n v="0.3"/>
    <n v="0.28789999999999999"/>
    <n v="0.28000000000000003"/>
    <n v="0.19400000000000001"/>
    <x v="2"/>
    <x v="82"/>
    <x v="103"/>
  </r>
  <r>
    <n v="130"/>
    <x v="2"/>
    <n v="1"/>
    <n v="0"/>
    <n v="1"/>
    <x v="5"/>
    <b v="0"/>
    <x v="0"/>
    <x v="0"/>
    <n v="0.28000000000000003"/>
    <n v="0.2727"/>
    <n v="0.36"/>
    <n v="0"/>
    <x v="5"/>
    <x v="86"/>
    <x v="103"/>
  </r>
  <r>
    <n v="173"/>
    <x v="23"/>
    <n v="1"/>
    <n v="0"/>
    <n v="1"/>
    <x v="12"/>
    <b v="0"/>
    <x v="5"/>
    <x v="1"/>
    <n v="0.2"/>
    <n v="0.18179999999999999"/>
    <n v="0.69"/>
    <n v="0.3881"/>
    <x v="0"/>
    <x v="90"/>
    <x v="103"/>
  </r>
  <r>
    <n v="203"/>
    <x v="26"/>
    <n v="1"/>
    <n v="0"/>
    <n v="1"/>
    <x v="2"/>
    <b v="0"/>
    <x v="6"/>
    <x v="0"/>
    <n v="0.18"/>
    <n v="0.1515"/>
    <n v="0.37"/>
    <n v="0.3881"/>
    <x v="4"/>
    <x v="93"/>
    <x v="103"/>
  </r>
  <r>
    <n v="470"/>
    <x v="4"/>
    <n v="1"/>
    <n v="0"/>
    <n v="1"/>
    <x v="8"/>
    <b v="0"/>
    <x v="2"/>
    <x v="0"/>
    <n v="0.2"/>
    <n v="0.1515"/>
    <n v="0.25"/>
    <n v="0.52239999999999998"/>
    <x v="11"/>
    <x v="97"/>
    <x v="103"/>
  </r>
  <r>
    <n v="58"/>
    <x v="13"/>
    <n v="1"/>
    <n v="0"/>
    <n v="1"/>
    <x v="10"/>
    <b v="0"/>
    <x v="4"/>
    <x v="0"/>
    <n v="0.22"/>
    <n v="0.21210000000000001"/>
    <n v="0.35"/>
    <n v="0.29849999999999999"/>
    <x v="13"/>
    <x v="96"/>
    <x v="104"/>
  </r>
  <r>
    <n v="59"/>
    <x v="13"/>
    <n v="1"/>
    <n v="0"/>
    <n v="1"/>
    <x v="9"/>
    <b v="0"/>
    <x v="4"/>
    <x v="0"/>
    <n v="0.24"/>
    <m/>
    <n v="0.35"/>
    <n v="0.28360000000000002"/>
    <x v="5"/>
    <x v="99"/>
    <x v="104"/>
  </r>
  <r>
    <n v="172"/>
    <x v="23"/>
    <n v="1"/>
    <n v="0"/>
    <n v="1"/>
    <x v="13"/>
    <b v="0"/>
    <x v="5"/>
    <x v="1"/>
    <n v="0.18"/>
    <n v="0.19700000000000001"/>
    <n v="0.8"/>
    <n v="0.16420000000000001"/>
    <x v="1"/>
    <x v="97"/>
    <x v="104"/>
  </r>
  <r>
    <n v="313"/>
    <x v="12"/>
    <n v="1"/>
    <n v="0"/>
    <n v="1"/>
    <x v="10"/>
    <b v="0"/>
    <x v="2"/>
    <x v="0"/>
    <n v="0.2"/>
    <n v="0.19700000000000001"/>
    <n v="0.44"/>
    <n v="0.25369999999999998"/>
    <x v="0"/>
    <x v="93"/>
    <x v="104"/>
  </r>
  <r>
    <n v="368"/>
    <x v="18"/>
    <n v="1"/>
    <n v="0"/>
    <n v="1"/>
    <x v="4"/>
    <b v="0"/>
    <x v="6"/>
    <x v="0"/>
    <n v="0.18"/>
    <n v="0.19700000000000001"/>
    <n v="0.47"/>
    <n v="0.1343"/>
    <x v="3"/>
    <x v="73"/>
    <x v="104"/>
  </r>
  <r>
    <n v="401"/>
    <x v="16"/>
    <n v="1"/>
    <n v="0"/>
    <n v="1"/>
    <x v="6"/>
    <b v="0"/>
    <x v="1"/>
    <x v="1"/>
    <n v="0.22"/>
    <n v="0.2273"/>
    <n v="0.87"/>
    <n v="0.19400000000000001"/>
    <x v="14"/>
    <x v="98"/>
    <x v="104"/>
  </r>
  <r>
    <n v="559"/>
    <x v="1"/>
    <n v="1"/>
    <n v="0"/>
    <n v="1"/>
    <x v="12"/>
    <b v="0"/>
    <x v="1"/>
    <x v="1"/>
    <n v="0.24"/>
    <n v="0.2424"/>
    <n v="0.6"/>
    <n v="0.1343"/>
    <x v="11"/>
    <x v="82"/>
    <x v="104"/>
  </r>
  <r>
    <n v="293"/>
    <x v="7"/>
    <n v="1"/>
    <n v="0"/>
    <n v="1"/>
    <x v="5"/>
    <b v="0"/>
    <x v="0"/>
    <x v="0"/>
    <n v="0.24"/>
    <n v="0.21210000000000001"/>
    <n v="0.38"/>
    <n v="0.29849999999999999"/>
    <x v="1"/>
    <x v="82"/>
    <x v="105"/>
  </r>
  <r>
    <n v="392"/>
    <x v="25"/>
    <n v="1"/>
    <n v="0"/>
    <n v="1"/>
    <x v="4"/>
    <b v="1"/>
    <x v="4"/>
    <x v="2"/>
    <n v="0.18"/>
    <n v="0.18179999999999999"/>
    <n v="0.59"/>
    <n v="0.19400000000000001"/>
    <x v="0"/>
    <x v="92"/>
    <x v="105"/>
  </r>
  <r>
    <n v="538"/>
    <x v="11"/>
    <n v="1"/>
    <n v="0"/>
    <n v="1"/>
    <x v="9"/>
    <b v="0"/>
    <x v="4"/>
    <x v="1"/>
    <n v="0.14000000000000001"/>
    <n v="0.13639999999999999"/>
    <n v="0.43"/>
    <n v="0.22389999999999999"/>
    <x v="11"/>
    <x v="86"/>
    <x v="105"/>
  </r>
  <r>
    <n v="602"/>
    <x v="14"/>
    <n v="1"/>
    <n v="0"/>
    <n v="1"/>
    <x v="11"/>
    <b v="0"/>
    <x v="2"/>
    <x v="1"/>
    <n v="0.16"/>
    <n v="0.19700000000000001"/>
    <n v="0.86"/>
    <n v="8.9599999999999999E-2"/>
    <x v="0"/>
    <x v="92"/>
    <x v="105"/>
  </r>
  <r>
    <n v="38"/>
    <x v="24"/>
    <n v="1"/>
    <n v="0"/>
    <n v="1"/>
    <x v="8"/>
    <b v="0"/>
    <x v="6"/>
    <x v="2"/>
    <n v="0.36"/>
    <m/>
    <n v="0.76"/>
    <n v="0.19400000000000001"/>
    <x v="9"/>
    <x v="82"/>
    <x v="106"/>
  </r>
  <r>
    <n v="126"/>
    <x v="2"/>
    <n v="1"/>
    <n v="0"/>
    <n v="1"/>
    <x v="12"/>
    <b v="0"/>
    <x v="0"/>
    <x v="0"/>
    <n v="0.22"/>
    <n v="0.2576"/>
    <n v="0.44"/>
    <n v="8.9599999999999999E-2"/>
    <x v="0"/>
    <x v="95"/>
    <x v="106"/>
  </r>
  <r>
    <n v="150"/>
    <x v="6"/>
    <n v="1"/>
    <n v="0"/>
    <n v="1"/>
    <x v="10"/>
    <b v="0"/>
    <x v="2"/>
    <x v="1"/>
    <n v="0.2"/>
    <n v="0.19700000000000001"/>
    <n v="0.37"/>
    <n v="0.25369999999999998"/>
    <x v="10"/>
    <x v="100"/>
    <x v="106"/>
  </r>
  <r>
    <n v="335"/>
    <x v="17"/>
    <n v="1"/>
    <n v="0"/>
    <n v="1"/>
    <x v="13"/>
    <b v="0"/>
    <x v="5"/>
    <x v="0"/>
    <n v="0.18"/>
    <n v="0.19700000000000001"/>
    <n v="0.59"/>
    <n v="0.16420000000000001"/>
    <x v="0"/>
    <x v="95"/>
    <x v="106"/>
  </r>
  <r>
    <n v="429"/>
    <x v="8"/>
    <n v="1"/>
    <n v="0"/>
    <n v="1"/>
    <x v="14"/>
    <b v="0"/>
    <x v="3"/>
    <x v="0"/>
    <n v="0.32"/>
    <n v="0.28789999999999999"/>
    <n v="0.49"/>
    <n v="0.41789999999999999"/>
    <x v="9"/>
    <x v="82"/>
    <x v="106"/>
  </r>
  <r>
    <n v="430"/>
    <x v="8"/>
    <n v="1"/>
    <n v="0"/>
    <n v="1"/>
    <x v="15"/>
    <b v="0"/>
    <x v="3"/>
    <x v="0"/>
    <n v="0.3"/>
    <n v="0.30299999999999999"/>
    <n v="0.52"/>
    <n v="0.16420000000000001"/>
    <x v="11"/>
    <x v="99"/>
    <x v="106"/>
  </r>
  <r>
    <n v="467"/>
    <x v="4"/>
    <n v="1"/>
    <n v="0"/>
    <n v="1"/>
    <x v="12"/>
    <b v="0"/>
    <x v="2"/>
    <x v="0"/>
    <n v="0.22"/>
    <n v="0.18179999999999999"/>
    <n v="0.41"/>
    <n v="0.4627"/>
    <x v="11"/>
    <x v="99"/>
    <x v="106"/>
  </r>
  <r>
    <n v="498"/>
    <x v="22"/>
    <n v="1"/>
    <n v="0"/>
    <n v="1"/>
    <x v="4"/>
    <b v="0"/>
    <x v="5"/>
    <x v="0"/>
    <n v="0.08"/>
    <n v="0.1061"/>
    <n v="0.35"/>
    <n v="0.1343"/>
    <x v="11"/>
    <x v="99"/>
    <x v="106"/>
  </r>
  <r>
    <n v="546"/>
    <x v="11"/>
    <n v="1"/>
    <n v="0"/>
    <n v="1"/>
    <x v="14"/>
    <b v="0"/>
    <x v="4"/>
    <x v="0"/>
    <n v="0.14000000000000001"/>
    <n v="0.1515"/>
    <n v="0.63"/>
    <n v="0.16420000000000001"/>
    <x v="11"/>
    <x v="99"/>
    <x v="106"/>
  </r>
  <r>
    <n v="592"/>
    <x v="21"/>
    <n v="1"/>
    <n v="0"/>
    <n v="1"/>
    <x v="7"/>
    <b v="0"/>
    <x v="0"/>
    <x v="0"/>
    <n v="0.18"/>
    <n v="0.21210000000000001"/>
    <n v="0.74"/>
    <n v="8.9599999999999999E-2"/>
    <x v="9"/>
    <x v="82"/>
    <x v="106"/>
  </r>
  <r>
    <n v="512"/>
    <x v="19"/>
    <n v="1"/>
    <n v="0"/>
    <n v="1"/>
    <x v="13"/>
    <b v="0"/>
    <x v="6"/>
    <x v="0"/>
    <n v="0.14000000000000001"/>
    <n v="0.1061"/>
    <n v="0.46"/>
    <n v="0.3881"/>
    <x v="2"/>
    <x v="101"/>
    <x v="107"/>
  </r>
  <r>
    <n v="579"/>
    <x v="27"/>
    <n v="1"/>
    <n v="0"/>
    <n v="1"/>
    <x v="3"/>
    <b v="0"/>
    <x v="3"/>
    <x v="2"/>
    <n v="0.22"/>
    <n v="0.21210000000000001"/>
    <n v="0.87"/>
    <n v="0.29849999999999999"/>
    <x v="4"/>
    <x v="82"/>
    <x v="107"/>
  </r>
  <r>
    <n v="80"/>
    <x v="5"/>
    <n v="1"/>
    <n v="0"/>
    <n v="1"/>
    <x v="12"/>
    <b v="0"/>
    <x v="1"/>
    <x v="0"/>
    <n v="0.22"/>
    <n v="0.21210000000000001"/>
    <n v="0.51"/>
    <n v="0.29849999999999999"/>
    <x v="2"/>
    <x v="100"/>
    <x v="108"/>
  </r>
  <r>
    <n v="102"/>
    <x v="9"/>
    <n v="1"/>
    <n v="0"/>
    <n v="1"/>
    <x v="13"/>
    <b v="0"/>
    <x v="3"/>
    <x v="0"/>
    <n v="0.22"/>
    <n v="0.19700000000000001"/>
    <n v="0.37"/>
    <n v="0.32840000000000003"/>
    <x v="9"/>
    <x v="99"/>
    <x v="108"/>
  </r>
  <r>
    <n v="244"/>
    <x v="3"/>
    <n v="1"/>
    <n v="0"/>
    <n v="1"/>
    <x v="10"/>
    <b v="0"/>
    <x v="1"/>
    <x v="1"/>
    <n v="0.2"/>
    <n v="0.2273"/>
    <n v="0.51"/>
    <n v="0.1045"/>
    <x v="0"/>
    <x v="82"/>
    <x v="108"/>
  </r>
  <r>
    <n v="275"/>
    <x v="15"/>
    <n v="1"/>
    <n v="0"/>
    <n v="1"/>
    <x v="14"/>
    <b v="0"/>
    <x v="3"/>
    <x v="0"/>
    <n v="0.16"/>
    <n v="0.13639999999999999"/>
    <n v="0.55000000000000004"/>
    <n v="0.32840000000000003"/>
    <x v="14"/>
    <x v="95"/>
    <x v="108"/>
  </r>
  <r>
    <n v="346"/>
    <x v="17"/>
    <n v="1"/>
    <n v="0"/>
    <n v="1"/>
    <x v="14"/>
    <b v="0"/>
    <x v="5"/>
    <x v="1"/>
    <n v="0.32"/>
    <n v="0.30299999999999999"/>
    <n v="0.39"/>
    <n v="0.22389999999999999"/>
    <x v="11"/>
    <x v="101"/>
    <x v="108"/>
  </r>
  <r>
    <n v="369"/>
    <x v="18"/>
    <n v="1"/>
    <n v="0"/>
    <n v="1"/>
    <x v="7"/>
    <b v="0"/>
    <x v="6"/>
    <x v="0"/>
    <n v="0.18"/>
    <n v="0.19700000000000001"/>
    <n v="0.47"/>
    <n v="0.16420000000000001"/>
    <x v="2"/>
    <x v="100"/>
    <x v="108"/>
  </r>
  <r>
    <n v="383"/>
    <x v="25"/>
    <n v="1"/>
    <n v="0"/>
    <n v="1"/>
    <x v="13"/>
    <b v="1"/>
    <x v="4"/>
    <x v="1"/>
    <n v="0.16"/>
    <n v="0.1515"/>
    <n v="0.5"/>
    <n v="0.25369999999999998"/>
    <x v="2"/>
    <x v="100"/>
    <x v="108"/>
  </r>
  <r>
    <n v="442"/>
    <x v="0"/>
    <n v="1"/>
    <n v="0"/>
    <n v="1"/>
    <x v="13"/>
    <b v="0"/>
    <x v="0"/>
    <x v="0"/>
    <n v="0.26"/>
    <n v="0.2273"/>
    <n v="0.48"/>
    <n v="0.29849999999999999"/>
    <x v="8"/>
    <x v="97"/>
    <x v="108"/>
  </r>
  <r>
    <n v="453"/>
    <x v="0"/>
    <n v="1"/>
    <n v="0"/>
    <n v="1"/>
    <x v="14"/>
    <b v="0"/>
    <x v="0"/>
    <x v="1"/>
    <n v="0.24"/>
    <n v="0.2273"/>
    <n v="0.6"/>
    <n v="0.25369999999999998"/>
    <x v="4"/>
    <x v="86"/>
    <x v="108"/>
  </r>
  <r>
    <n v="540"/>
    <x v="11"/>
    <n v="1"/>
    <n v="0"/>
    <n v="1"/>
    <x v="5"/>
    <b v="0"/>
    <x v="4"/>
    <x v="0"/>
    <n v="0.16"/>
    <n v="0.16669999999999999"/>
    <n v="0.4"/>
    <n v="0.16420000000000001"/>
    <x v="2"/>
    <x v="100"/>
    <x v="108"/>
  </r>
  <r>
    <n v="12"/>
    <x v="20"/>
    <n v="1"/>
    <n v="0"/>
    <n v="1"/>
    <x v="12"/>
    <b v="0"/>
    <x v="5"/>
    <x v="0"/>
    <n v="0.36"/>
    <n v="0.33329999999999999"/>
    <n v="0.81"/>
    <n v="0.28360000000000002"/>
    <x v="18"/>
    <x v="102"/>
    <x v="109"/>
  </r>
  <r>
    <n v="274"/>
    <x v="15"/>
    <n v="1"/>
    <n v="0"/>
    <n v="1"/>
    <x v="7"/>
    <b v="0"/>
    <x v="3"/>
    <x v="0"/>
    <n v="0.16"/>
    <n v="0.13639999999999999"/>
    <n v="0.5"/>
    <n v="0.32840000000000003"/>
    <x v="0"/>
    <x v="86"/>
    <x v="109"/>
  </r>
  <r>
    <n v="454"/>
    <x v="0"/>
    <n v="1"/>
    <n v="0"/>
    <n v="1"/>
    <x v="15"/>
    <b v="0"/>
    <x v="0"/>
    <x v="1"/>
    <n v="0.24"/>
    <n v="0.21210000000000001"/>
    <n v="0.65"/>
    <n v="0.28360000000000002"/>
    <x v="14"/>
    <x v="97"/>
    <x v="109"/>
  </r>
  <r>
    <n v="180"/>
    <x v="23"/>
    <n v="1"/>
    <n v="0"/>
    <n v="1"/>
    <x v="1"/>
    <b v="0"/>
    <x v="5"/>
    <x v="0"/>
    <n v="0.14000000000000001"/>
    <n v="0.1212"/>
    <n v="0.39"/>
    <n v="0.29849999999999999"/>
    <x v="4"/>
    <x v="74"/>
    <x v="110"/>
  </r>
  <r>
    <n v="266"/>
    <x v="15"/>
    <n v="1"/>
    <n v="0"/>
    <n v="1"/>
    <x v="10"/>
    <b v="0"/>
    <x v="3"/>
    <x v="0"/>
    <n v="0.2"/>
    <n v="0.1515"/>
    <n v="0.47"/>
    <n v="0.58209999999999995"/>
    <x v="4"/>
    <x v="74"/>
    <x v="110"/>
  </r>
  <r>
    <n v="519"/>
    <x v="19"/>
    <n v="1"/>
    <n v="0"/>
    <n v="1"/>
    <x v="2"/>
    <b v="0"/>
    <x v="6"/>
    <x v="0"/>
    <n v="0.14000000000000001"/>
    <n v="0.1061"/>
    <n v="0.26"/>
    <n v="0.3881"/>
    <x v="1"/>
    <x v="100"/>
    <x v="110"/>
  </r>
  <r>
    <n v="558"/>
    <x v="1"/>
    <n v="1"/>
    <n v="0"/>
    <n v="1"/>
    <x v="13"/>
    <b v="0"/>
    <x v="1"/>
    <x v="1"/>
    <n v="0.22"/>
    <n v="0.2424"/>
    <n v="0.6"/>
    <n v="0.1045"/>
    <x v="11"/>
    <x v="103"/>
    <x v="110"/>
  </r>
  <r>
    <n v="89"/>
    <x v="5"/>
    <n v="1"/>
    <n v="0"/>
    <n v="1"/>
    <x v="7"/>
    <b v="0"/>
    <x v="1"/>
    <x v="0"/>
    <n v="0.24"/>
    <n v="0.2576"/>
    <n v="0.48"/>
    <n v="0.1045"/>
    <x v="8"/>
    <x v="99"/>
    <x v="111"/>
  </r>
  <r>
    <n v="223"/>
    <x v="10"/>
    <n v="1"/>
    <n v="0"/>
    <n v="1"/>
    <x v="9"/>
    <b v="0"/>
    <x v="4"/>
    <x v="1"/>
    <n v="0.2"/>
    <n v="0.18179999999999999"/>
    <n v="0.4"/>
    <n v="0.28360000000000002"/>
    <x v="9"/>
    <x v="100"/>
    <x v="111"/>
  </r>
  <r>
    <n v="242"/>
    <x v="3"/>
    <n v="1"/>
    <n v="0"/>
    <n v="1"/>
    <x v="13"/>
    <b v="0"/>
    <x v="1"/>
    <x v="1"/>
    <n v="0.2"/>
    <n v="0.21210000000000001"/>
    <n v="0.51"/>
    <n v="0.16420000000000001"/>
    <x v="4"/>
    <x v="101"/>
    <x v="111"/>
  </r>
  <r>
    <n v="261"/>
    <x v="15"/>
    <n v="1"/>
    <n v="0"/>
    <n v="1"/>
    <x v="11"/>
    <b v="0"/>
    <x v="3"/>
    <x v="0"/>
    <n v="0.14000000000000001"/>
    <n v="0.1515"/>
    <n v="0.69"/>
    <n v="0.1343"/>
    <x v="14"/>
    <x v="86"/>
    <x v="111"/>
  </r>
  <r>
    <n v="497"/>
    <x v="22"/>
    <n v="1"/>
    <n v="0"/>
    <n v="1"/>
    <x v="1"/>
    <b v="0"/>
    <x v="5"/>
    <x v="0"/>
    <n v="0.08"/>
    <n v="9.0899999999999995E-2"/>
    <n v="0.35"/>
    <n v="0.19400000000000001"/>
    <x v="14"/>
    <x v="86"/>
    <x v="111"/>
  </r>
  <r>
    <n v="34"/>
    <x v="24"/>
    <n v="1"/>
    <n v="0"/>
    <n v="1"/>
    <x v="13"/>
    <b v="0"/>
    <x v="6"/>
    <x v="1"/>
    <n v="0.36"/>
    <n v="0.34849999999999998"/>
    <n v="0.81"/>
    <n v="0.22389999999999999"/>
    <x v="2"/>
    <x v="104"/>
    <x v="112"/>
  </r>
  <r>
    <n v="42"/>
    <x v="24"/>
    <n v="1"/>
    <n v="0"/>
    <n v="1"/>
    <x v="1"/>
    <b v="0"/>
    <x v="6"/>
    <x v="1"/>
    <n v="0.36"/>
    <n v="0.33329999999999999"/>
    <n v="0.46"/>
    <n v="0.32840000000000003"/>
    <x v="6"/>
    <x v="105"/>
    <x v="112"/>
  </r>
  <r>
    <n v="312"/>
    <x v="12"/>
    <n v="1"/>
    <n v="0"/>
    <n v="1"/>
    <x v="12"/>
    <b v="0"/>
    <x v="2"/>
    <x v="0"/>
    <n v="0.18"/>
    <n v="0.16669999999999999"/>
    <n v="0.51"/>
    <n v="0.28360000000000002"/>
    <x v="11"/>
    <x v="73"/>
    <x v="112"/>
  </r>
  <r>
    <n v="476"/>
    <x v="4"/>
    <n v="1"/>
    <n v="0"/>
    <n v="1"/>
    <x v="7"/>
    <b v="0"/>
    <x v="2"/>
    <x v="0"/>
    <n v="0.1"/>
    <n v="7.5800000000000006E-2"/>
    <n v="0.33"/>
    <n v="0.41789999999999999"/>
    <x v="8"/>
    <x v="74"/>
    <x v="112"/>
  </r>
  <r>
    <n v="489"/>
    <x v="22"/>
    <n v="1"/>
    <n v="0"/>
    <n v="1"/>
    <x v="13"/>
    <b v="0"/>
    <x v="5"/>
    <x v="1"/>
    <n v="0.04"/>
    <n v="6.0600000000000001E-2"/>
    <n v="0.41"/>
    <n v="0.16420000000000001"/>
    <x v="4"/>
    <x v="100"/>
    <x v="112"/>
  </r>
  <r>
    <n v="570"/>
    <x v="1"/>
    <n v="1"/>
    <n v="0"/>
    <n v="1"/>
    <x v="15"/>
    <b v="0"/>
    <x v="1"/>
    <x v="0"/>
    <n v="0.22"/>
    <n v="0.2273"/>
    <n v="0.64"/>
    <n v="0.16420000000000001"/>
    <x v="9"/>
    <x v="103"/>
    <x v="112"/>
  </r>
  <r>
    <n v="66"/>
    <x v="13"/>
    <n v="1"/>
    <n v="0"/>
    <n v="1"/>
    <x v="7"/>
    <b v="0"/>
    <x v="4"/>
    <x v="0"/>
    <n v="0.2"/>
    <m/>
    <n v="0.47"/>
    <n v="0.1045"/>
    <x v="4"/>
    <x v="103"/>
    <x v="113"/>
  </r>
  <r>
    <n v="67"/>
    <x v="13"/>
    <n v="1"/>
    <n v="0"/>
    <n v="1"/>
    <x v="14"/>
    <b v="0"/>
    <x v="4"/>
    <x v="0"/>
    <n v="0.18"/>
    <n v="0.19700000000000001"/>
    <n v="0.64"/>
    <n v="0.1343"/>
    <x v="4"/>
    <x v="103"/>
    <x v="113"/>
  </r>
  <r>
    <n v="137"/>
    <x v="2"/>
    <n v="1"/>
    <n v="0"/>
    <n v="1"/>
    <x v="15"/>
    <b v="0"/>
    <x v="0"/>
    <x v="1"/>
    <n v="0.22"/>
    <n v="0.21210000000000001"/>
    <n v="0.51"/>
    <n v="0.28360000000000002"/>
    <x v="8"/>
    <x v="101"/>
    <x v="113"/>
  </r>
  <r>
    <n v="222"/>
    <x v="10"/>
    <n v="1"/>
    <n v="0"/>
    <n v="1"/>
    <x v="10"/>
    <b v="0"/>
    <x v="4"/>
    <x v="1"/>
    <n v="0.2"/>
    <n v="0.18179999999999999"/>
    <n v="0.4"/>
    <n v="0.28360000000000002"/>
    <x v="1"/>
    <x v="73"/>
    <x v="113"/>
  </r>
  <r>
    <n v="245"/>
    <x v="3"/>
    <n v="1"/>
    <n v="0"/>
    <n v="1"/>
    <x v="9"/>
    <b v="0"/>
    <x v="1"/>
    <x v="1"/>
    <n v="0.2"/>
    <n v="0.2273"/>
    <n v="0.59"/>
    <n v="8.9599999999999999E-2"/>
    <x v="11"/>
    <x v="104"/>
    <x v="113"/>
  </r>
  <r>
    <n v="290"/>
    <x v="7"/>
    <n v="1"/>
    <n v="0"/>
    <n v="1"/>
    <x v="10"/>
    <b v="0"/>
    <x v="0"/>
    <x v="0"/>
    <n v="0.2"/>
    <n v="0.16669999999999999"/>
    <n v="0.44"/>
    <n v="0.41789999999999999"/>
    <x v="4"/>
    <x v="103"/>
    <x v="113"/>
  </r>
  <r>
    <n v="322"/>
    <x v="12"/>
    <n v="1"/>
    <n v="0"/>
    <n v="1"/>
    <x v="14"/>
    <b v="0"/>
    <x v="2"/>
    <x v="0"/>
    <n v="0.16"/>
    <n v="0.2273"/>
    <n v="0.69"/>
    <n v="0"/>
    <x v="9"/>
    <x v="96"/>
    <x v="113"/>
  </r>
  <r>
    <n v="419"/>
    <x v="8"/>
    <n v="1"/>
    <n v="0"/>
    <n v="1"/>
    <x v="12"/>
    <b v="0"/>
    <x v="3"/>
    <x v="1"/>
    <n v="0.28000000000000003"/>
    <n v="0.30299999999999999"/>
    <n v="0.87"/>
    <n v="8.9599999999999999E-2"/>
    <x v="1"/>
    <x v="73"/>
    <x v="113"/>
  </r>
  <r>
    <n v="57"/>
    <x v="13"/>
    <n v="1"/>
    <n v="0"/>
    <n v="1"/>
    <x v="12"/>
    <b v="0"/>
    <x v="4"/>
    <x v="0"/>
    <n v="0.2"/>
    <n v="0.18179999999999999"/>
    <n v="0.4"/>
    <n v="0.32840000000000003"/>
    <x v="6"/>
    <x v="106"/>
    <x v="114"/>
  </r>
  <r>
    <n v="158"/>
    <x v="6"/>
    <n v="1"/>
    <n v="0"/>
    <n v="1"/>
    <x v="7"/>
    <b v="0"/>
    <x v="2"/>
    <x v="0"/>
    <n v="0.18"/>
    <n v="0.21210000000000001"/>
    <n v="0.47"/>
    <n v="0.1045"/>
    <x v="8"/>
    <x v="100"/>
    <x v="114"/>
  </r>
  <r>
    <n v="251"/>
    <x v="3"/>
    <n v="1"/>
    <n v="0"/>
    <n v="1"/>
    <x v="4"/>
    <b v="0"/>
    <x v="1"/>
    <x v="2"/>
    <n v="0.16"/>
    <n v="0.2273"/>
    <n v="0.93"/>
    <n v="0"/>
    <x v="14"/>
    <x v="101"/>
    <x v="114"/>
  </r>
  <r>
    <n v="152"/>
    <x v="6"/>
    <n v="1"/>
    <n v="0"/>
    <n v="1"/>
    <x v="8"/>
    <b v="0"/>
    <x v="2"/>
    <x v="1"/>
    <n v="0.2"/>
    <n v="0.19700000000000001"/>
    <n v="0.4"/>
    <n v="0.25369999999999998"/>
    <x v="2"/>
    <x v="105"/>
    <x v="115"/>
  </r>
  <r>
    <n v="521"/>
    <x v="19"/>
    <n v="1"/>
    <n v="0"/>
    <n v="1"/>
    <x v="4"/>
    <b v="0"/>
    <x v="6"/>
    <x v="0"/>
    <n v="0.12"/>
    <n v="0.1212"/>
    <n v="0.3"/>
    <n v="0.28360000000000002"/>
    <x v="1"/>
    <x v="107"/>
    <x v="115"/>
  </r>
  <r>
    <n v="196"/>
    <x v="26"/>
    <n v="1"/>
    <n v="0"/>
    <n v="1"/>
    <x v="13"/>
    <b v="0"/>
    <x v="6"/>
    <x v="0"/>
    <n v="0.14000000000000001"/>
    <n v="0.1061"/>
    <n v="0.43"/>
    <n v="0.3881"/>
    <x v="14"/>
    <x v="103"/>
    <x v="116"/>
  </r>
  <r>
    <n v="197"/>
    <x v="26"/>
    <n v="1"/>
    <n v="0"/>
    <n v="1"/>
    <x v="12"/>
    <b v="0"/>
    <x v="6"/>
    <x v="0"/>
    <n v="0.16"/>
    <n v="0.1212"/>
    <n v="0.4"/>
    <n v="0.52239999999999998"/>
    <x v="0"/>
    <x v="73"/>
    <x v="116"/>
  </r>
  <r>
    <n v="267"/>
    <x v="15"/>
    <n v="1"/>
    <n v="0"/>
    <n v="1"/>
    <x v="9"/>
    <b v="0"/>
    <x v="3"/>
    <x v="0"/>
    <n v="0.22"/>
    <n v="0.19700000000000001"/>
    <n v="0.44"/>
    <n v="0.35820000000000002"/>
    <x v="14"/>
    <x v="103"/>
    <x v="116"/>
  </r>
  <r>
    <n v="269"/>
    <x v="15"/>
    <n v="1"/>
    <n v="0"/>
    <n v="1"/>
    <x v="5"/>
    <b v="0"/>
    <x v="3"/>
    <x v="0"/>
    <n v="0.2"/>
    <n v="0.16669999999999999"/>
    <n v="0.47"/>
    <n v="0.41789999999999999"/>
    <x v="8"/>
    <x v="96"/>
    <x v="116"/>
  </r>
  <r>
    <n v="520"/>
    <x v="19"/>
    <n v="1"/>
    <n v="0"/>
    <n v="1"/>
    <x v="1"/>
    <b v="0"/>
    <x v="6"/>
    <x v="0"/>
    <n v="0.12"/>
    <n v="0.1212"/>
    <n v="0.3"/>
    <n v="0.25369999999999998"/>
    <x v="1"/>
    <x v="108"/>
    <x v="116"/>
  </r>
  <r>
    <n v="605"/>
    <x v="14"/>
    <n v="1"/>
    <n v="0"/>
    <n v="1"/>
    <x v="13"/>
    <b v="0"/>
    <x v="2"/>
    <x v="2"/>
    <n v="0.18"/>
    <n v="0.21210000000000001"/>
    <n v="0.86"/>
    <n v="0.1045"/>
    <x v="14"/>
    <x v="103"/>
    <x v="116"/>
  </r>
  <r>
    <n v="90"/>
    <x v="5"/>
    <n v="1"/>
    <n v="0"/>
    <n v="1"/>
    <x v="14"/>
    <b v="0"/>
    <x v="1"/>
    <x v="0"/>
    <n v="0.22"/>
    <n v="0.2727"/>
    <n v="0.64"/>
    <n v="0"/>
    <x v="14"/>
    <x v="96"/>
    <x v="117"/>
  </r>
  <r>
    <n v="136"/>
    <x v="2"/>
    <n v="1"/>
    <n v="0"/>
    <n v="1"/>
    <x v="14"/>
    <b v="0"/>
    <x v="0"/>
    <x v="1"/>
    <n v="0.22"/>
    <n v="0.21210000000000001"/>
    <n v="0.55000000000000004"/>
    <n v="0.22389999999999999"/>
    <x v="14"/>
    <x v="96"/>
    <x v="117"/>
  </r>
  <r>
    <n v="204"/>
    <x v="26"/>
    <n v="1"/>
    <n v="0"/>
    <n v="1"/>
    <x v="1"/>
    <b v="0"/>
    <x v="6"/>
    <x v="0"/>
    <n v="0.16"/>
    <n v="0.13639999999999999"/>
    <n v="0.4"/>
    <n v="0.32840000000000003"/>
    <x v="9"/>
    <x v="108"/>
    <x v="117"/>
  </r>
  <r>
    <n v="582"/>
    <x v="27"/>
    <n v="1"/>
    <n v="0"/>
    <n v="1"/>
    <x v="10"/>
    <b v="0"/>
    <x v="3"/>
    <x v="2"/>
    <n v="0.22"/>
    <n v="0.19700000000000001"/>
    <n v="0.93"/>
    <n v="0.32840000000000003"/>
    <x v="2"/>
    <x v="106"/>
    <x v="117"/>
  </r>
  <r>
    <n v="224"/>
    <x v="10"/>
    <n v="1"/>
    <n v="0"/>
    <n v="1"/>
    <x v="8"/>
    <b v="0"/>
    <x v="4"/>
    <x v="1"/>
    <n v="0.2"/>
    <n v="0.19700000000000001"/>
    <n v="0.4"/>
    <n v="0.22389999999999999"/>
    <x v="14"/>
    <x v="73"/>
    <x v="118"/>
  </r>
  <r>
    <n v="247"/>
    <x v="3"/>
    <n v="1"/>
    <n v="0"/>
    <n v="1"/>
    <x v="5"/>
    <b v="0"/>
    <x v="1"/>
    <x v="1"/>
    <n v="0.16"/>
    <n v="0.19700000000000001"/>
    <n v="0.8"/>
    <n v="8.9599999999999999E-2"/>
    <x v="0"/>
    <x v="107"/>
    <x v="118"/>
  </r>
  <r>
    <n v="382"/>
    <x v="25"/>
    <n v="1"/>
    <n v="0"/>
    <n v="1"/>
    <x v="3"/>
    <b v="1"/>
    <x v="4"/>
    <x v="1"/>
    <n v="0.16"/>
    <n v="0.1515"/>
    <n v="0.47"/>
    <n v="0.22389999999999999"/>
    <x v="5"/>
    <x v="109"/>
    <x v="118"/>
  </r>
  <r>
    <n v="418"/>
    <x v="8"/>
    <n v="1"/>
    <n v="0"/>
    <n v="1"/>
    <x v="13"/>
    <b v="0"/>
    <x v="3"/>
    <x v="1"/>
    <n v="0.26"/>
    <n v="0.2727"/>
    <n v="0.93"/>
    <n v="0.1343"/>
    <x v="8"/>
    <x v="104"/>
    <x v="118"/>
  </r>
  <r>
    <n v="583"/>
    <x v="27"/>
    <n v="1"/>
    <n v="0"/>
    <n v="1"/>
    <x v="9"/>
    <b v="0"/>
    <x v="3"/>
    <x v="2"/>
    <n v="0.22"/>
    <n v="0.19700000000000001"/>
    <n v="0.93"/>
    <n v="0.32840000000000003"/>
    <x v="9"/>
    <x v="105"/>
    <x v="118"/>
  </r>
  <r>
    <n v="103"/>
    <x v="9"/>
    <n v="1"/>
    <n v="0"/>
    <n v="1"/>
    <x v="12"/>
    <b v="0"/>
    <x v="3"/>
    <x v="0"/>
    <n v="0.26"/>
    <n v="0.2273"/>
    <n v="0.33"/>
    <n v="0.32840000000000003"/>
    <x v="26"/>
    <x v="110"/>
    <x v="119"/>
  </r>
  <r>
    <n v="536"/>
    <x v="11"/>
    <n v="1"/>
    <n v="0"/>
    <n v="1"/>
    <x v="12"/>
    <b v="0"/>
    <x v="4"/>
    <x v="0"/>
    <n v="0.1"/>
    <n v="0.1212"/>
    <n v="0.46"/>
    <n v="0.1343"/>
    <x v="4"/>
    <x v="105"/>
    <x v="119"/>
  </r>
  <r>
    <n v="125"/>
    <x v="2"/>
    <n v="1"/>
    <n v="0"/>
    <n v="1"/>
    <x v="13"/>
    <b v="0"/>
    <x v="0"/>
    <x v="0"/>
    <n v="0.2"/>
    <n v="0.2576"/>
    <n v="0.47"/>
    <n v="0"/>
    <x v="4"/>
    <x v="111"/>
    <x v="120"/>
  </r>
  <r>
    <n v="225"/>
    <x v="10"/>
    <n v="1"/>
    <n v="0"/>
    <n v="1"/>
    <x v="5"/>
    <b v="0"/>
    <x v="4"/>
    <x v="1"/>
    <n v="0.2"/>
    <n v="0.19700000000000001"/>
    <n v="0.4"/>
    <n v="0.22389999999999999"/>
    <x v="0"/>
    <x v="105"/>
    <x v="120"/>
  </r>
  <r>
    <n v="499"/>
    <x v="22"/>
    <n v="1"/>
    <n v="0"/>
    <n v="1"/>
    <x v="7"/>
    <b v="0"/>
    <x v="5"/>
    <x v="0"/>
    <n v="0.06"/>
    <n v="7.5800000000000006E-2"/>
    <n v="0.45"/>
    <n v="0.16420000000000001"/>
    <x v="8"/>
    <x v="108"/>
    <x v="120"/>
  </r>
  <r>
    <n v="539"/>
    <x v="11"/>
    <n v="1"/>
    <n v="0"/>
    <n v="1"/>
    <x v="8"/>
    <b v="0"/>
    <x v="4"/>
    <x v="1"/>
    <n v="0.14000000000000001"/>
    <n v="0.13639999999999999"/>
    <n v="0.46"/>
    <n v="0.22389999999999999"/>
    <x v="0"/>
    <x v="105"/>
    <x v="120"/>
  </r>
  <r>
    <n v="569"/>
    <x v="1"/>
    <n v="1"/>
    <n v="0"/>
    <n v="1"/>
    <x v="14"/>
    <b v="0"/>
    <x v="1"/>
    <x v="0"/>
    <n v="0.24"/>
    <n v="0.2273"/>
    <n v="0.65"/>
    <n v="0.19400000000000001"/>
    <x v="1"/>
    <x v="112"/>
    <x v="120"/>
  </r>
  <r>
    <n v="56"/>
    <x v="13"/>
    <n v="1"/>
    <n v="0"/>
    <n v="1"/>
    <x v="13"/>
    <b v="0"/>
    <x v="4"/>
    <x v="0"/>
    <n v="0.18"/>
    <n v="0.16669999999999999"/>
    <n v="0.43"/>
    <n v="0.25369999999999998"/>
    <x v="12"/>
    <x v="113"/>
    <x v="121"/>
  </r>
  <r>
    <n v="268"/>
    <x v="15"/>
    <n v="1"/>
    <n v="0"/>
    <n v="1"/>
    <x v="8"/>
    <b v="0"/>
    <x v="3"/>
    <x v="0"/>
    <n v="0.2"/>
    <n v="0.18179999999999999"/>
    <n v="0.47"/>
    <n v="0.32840000000000003"/>
    <x v="14"/>
    <x v="108"/>
    <x v="121"/>
  </r>
  <r>
    <n v="311"/>
    <x v="12"/>
    <n v="1"/>
    <n v="0"/>
    <n v="1"/>
    <x v="13"/>
    <b v="0"/>
    <x v="2"/>
    <x v="0"/>
    <n v="0.18"/>
    <n v="0.18179999999999999"/>
    <n v="0.55000000000000004"/>
    <n v="0.19400000000000001"/>
    <x v="9"/>
    <x v="112"/>
    <x v="121"/>
  </r>
  <r>
    <n v="348"/>
    <x v="17"/>
    <n v="1"/>
    <n v="0"/>
    <n v="1"/>
    <x v="16"/>
    <b v="0"/>
    <x v="5"/>
    <x v="0"/>
    <n v="0.3"/>
    <n v="0.28789999999999999"/>
    <n v="0.45"/>
    <n v="0.28360000000000002"/>
    <x v="1"/>
    <x v="109"/>
    <x v="121"/>
  </r>
  <r>
    <n v="113"/>
    <x v="9"/>
    <n v="1"/>
    <n v="0"/>
    <n v="1"/>
    <x v="14"/>
    <b v="0"/>
    <x v="3"/>
    <x v="0"/>
    <n v="0.2"/>
    <n v="0.19700000000000001"/>
    <n v="0.51"/>
    <n v="0.19400000000000001"/>
    <x v="4"/>
    <x v="112"/>
    <x v="122"/>
  </r>
  <r>
    <n v="585"/>
    <x v="27"/>
    <n v="1"/>
    <n v="0"/>
    <n v="1"/>
    <x v="5"/>
    <b v="0"/>
    <x v="3"/>
    <x v="2"/>
    <n v="0.22"/>
    <n v="0.18179999999999999"/>
    <n v="0.93"/>
    <n v="0.4627"/>
    <x v="8"/>
    <x v="111"/>
    <x v="122"/>
  </r>
  <r>
    <n v="79"/>
    <x v="5"/>
    <n v="1"/>
    <n v="0"/>
    <n v="1"/>
    <x v="13"/>
    <b v="0"/>
    <x v="1"/>
    <x v="1"/>
    <n v="0.16"/>
    <n v="0.13639999999999999"/>
    <n v="0.69"/>
    <n v="0.32840000000000003"/>
    <x v="1"/>
    <x v="114"/>
    <x v="123"/>
  </r>
  <r>
    <n v="114"/>
    <x v="9"/>
    <n v="1"/>
    <n v="0"/>
    <n v="1"/>
    <x v="15"/>
    <b v="0"/>
    <x v="3"/>
    <x v="0"/>
    <n v="0.18"/>
    <n v="0.19700000000000001"/>
    <n v="0.55000000000000004"/>
    <n v="0.1343"/>
    <x v="8"/>
    <x v="106"/>
    <x v="123"/>
  </r>
  <r>
    <n v="292"/>
    <x v="7"/>
    <n v="1"/>
    <n v="0"/>
    <n v="1"/>
    <x v="8"/>
    <b v="0"/>
    <x v="0"/>
    <x v="0"/>
    <n v="0.22"/>
    <n v="0.19700000000000001"/>
    <n v="0.41"/>
    <n v="0.3881"/>
    <x v="4"/>
    <x v="109"/>
    <x v="123"/>
  </r>
  <r>
    <n v="205"/>
    <x v="26"/>
    <n v="1"/>
    <n v="0"/>
    <n v="1"/>
    <x v="4"/>
    <b v="0"/>
    <x v="6"/>
    <x v="0"/>
    <n v="0.16"/>
    <n v="0.13639999999999999"/>
    <n v="0.43"/>
    <n v="0.32840000000000003"/>
    <x v="8"/>
    <x v="112"/>
    <x v="124"/>
  </r>
  <r>
    <n v="345"/>
    <x v="17"/>
    <n v="1"/>
    <n v="0"/>
    <n v="1"/>
    <x v="7"/>
    <b v="0"/>
    <x v="5"/>
    <x v="1"/>
    <n v="0.32"/>
    <n v="0.30299999999999999"/>
    <n v="0.39"/>
    <n v="0.25369999999999998"/>
    <x v="11"/>
    <x v="115"/>
    <x v="124"/>
  </r>
  <r>
    <n v="406"/>
    <x v="16"/>
    <n v="1"/>
    <n v="0"/>
    <n v="1"/>
    <x v="14"/>
    <b v="0"/>
    <x v="1"/>
    <x v="1"/>
    <n v="0.22"/>
    <n v="0.2424"/>
    <n v="0.93"/>
    <n v="0.1045"/>
    <x v="14"/>
    <x v="106"/>
    <x v="124"/>
  </r>
  <r>
    <n v="477"/>
    <x v="4"/>
    <n v="1"/>
    <n v="0"/>
    <n v="1"/>
    <x v="14"/>
    <b v="0"/>
    <x v="2"/>
    <x v="0"/>
    <n v="0.08"/>
    <n v="7.5800000000000006E-2"/>
    <n v="0.38"/>
    <n v="0.28360000000000002"/>
    <x v="14"/>
    <x v="106"/>
    <x v="124"/>
  </r>
  <r>
    <n v="581"/>
    <x v="27"/>
    <n v="1"/>
    <n v="0"/>
    <n v="1"/>
    <x v="12"/>
    <b v="0"/>
    <x v="3"/>
    <x v="2"/>
    <n v="0.22"/>
    <n v="0.19700000000000001"/>
    <n v="0.93"/>
    <n v="0.32840000000000003"/>
    <x v="11"/>
    <x v="115"/>
    <x v="124"/>
  </r>
  <r>
    <n v="610"/>
    <x v="14"/>
    <n v="1"/>
    <n v="0"/>
    <n v="1"/>
    <x v="5"/>
    <b v="0"/>
    <x v="2"/>
    <x v="1"/>
    <n v="0.2"/>
    <n v="0.2576"/>
    <n v="0.86"/>
    <n v="0"/>
    <x v="8"/>
    <x v="112"/>
    <x v="124"/>
  </r>
  <r>
    <n v="2"/>
    <x v="20"/>
    <n v="1"/>
    <n v="0"/>
    <n v="1"/>
    <x v="17"/>
    <b v="0"/>
    <x v="5"/>
    <x v="0"/>
    <n v="0.22"/>
    <n v="0.2727"/>
    <n v="0.8"/>
    <n v="0"/>
    <x v="5"/>
    <x v="116"/>
    <x v="125"/>
  </r>
  <r>
    <n v="299"/>
    <x v="7"/>
    <n v="1"/>
    <n v="0"/>
    <n v="1"/>
    <x v="14"/>
    <b v="0"/>
    <x v="0"/>
    <x v="0"/>
    <n v="0.14000000000000001"/>
    <n v="0.1212"/>
    <n v="0.46"/>
    <n v="0.29849999999999999"/>
    <x v="14"/>
    <x v="112"/>
    <x v="125"/>
  </r>
  <r>
    <n v="488"/>
    <x v="22"/>
    <n v="1"/>
    <n v="0"/>
    <n v="1"/>
    <x v="3"/>
    <b v="0"/>
    <x v="5"/>
    <x v="0"/>
    <n v="0.04"/>
    <n v="3.0300000000000001E-2"/>
    <n v="0.41"/>
    <n v="0.25369999999999998"/>
    <x v="4"/>
    <x v="114"/>
    <x v="125"/>
  </r>
  <r>
    <n v="535"/>
    <x v="11"/>
    <n v="1"/>
    <n v="0"/>
    <n v="1"/>
    <x v="13"/>
    <b v="0"/>
    <x v="4"/>
    <x v="0"/>
    <n v="0.1"/>
    <n v="0.13639999999999999"/>
    <n v="0.42"/>
    <n v="0"/>
    <x v="11"/>
    <x v="110"/>
    <x v="125"/>
  </r>
  <r>
    <n v="571"/>
    <x v="1"/>
    <n v="1"/>
    <n v="0"/>
    <n v="1"/>
    <x v="16"/>
    <b v="0"/>
    <x v="1"/>
    <x v="1"/>
    <n v="0.22"/>
    <n v="0.2273"/>
    <n v="0.64"/>
    <n v="0.16420000000000001"/>
    <x v="4"/>
    <x v="114"/>
    <x v="125"/>
  </r>
  <r>
    <n v="24"/>
    <x v="20"/>
    <n v="1"/>
    <n v="0"/>
    <n v="1"/>
    <x v="16"/>
    <b v="0"/>
    <x v="5"/>
    <x v="1"/>
    <n v="0.46"/>
    <m/>
    <n v="0.88"/>
    <n v="0.29849999999999999"/>
    <x v="30"/>
    <x v="117"/>
    <x v="126"/>
  </r>
  <r>
    <n v="159"/>
    <x v="6"/>
    <n v="1"/>
    <n v="0"/>
    <n v="1"/>
    <x v="14"/>
    <b v="0"/>
    <x v="2"/>
    <x v="0"/>
    <n v="0.18"/>
    <n v="0.19700000000000001"/>
    <n v="0.47"/>
    <n v="0.1343"/>
    <x v="14"/>
    <x v="109"/>
    <x v="126"/>
  </r>
  <r>
    <n v="264"/>
    <x v="15"/>
    <n v="1"/>
    <n v="0"/>
    <n v="1"/>
    <x v="13"/>
    <b v="0"/>
    <x v="3"/>
    <x v="0"/>
    <n v="0.18"/>
    <n v="0.18179999999999999"/>
    <n v="0.55000000000000004"/>
    <n v="0.22389999999999999"/>
    <x v="14"/>
    <x v="109"/>
    <x v="126"/>
  </r>
  <r>
    <n v="349"/>
    <x v="18"/>
    <n v="1"/>
    <n v="0"/>
    <n v="1"/>
    <x v="18"/>
    <b v="0"/>
    <x v="6"/>
    <x v="0"/>
    <n v="0.26"/>
    <n v="0.30299999999999999"/>
    <n v="0.56000000000000005"/>
    <n v="0"/>
    <x v="11"/>
    <x v="113"/>
    <x v="126"/>
  </r>
  <r>
    <n v="500"/>
    <x v="22"/>
    <n v="1"/>
    <n v="0"/>
    <n v="1"/>
    <x v="14"/>
    <b v="0"/>
    <x v="5"/>
    <x v="0"/>
    <n v="0.06"/>
    <n v="0.1061"/>
    <n v="0.41"/>
    <n v="8.9599999999999999E-2"/>
    <x v="14"/>
    <x v="109"/>
    <x v="126"/>
  </r>
  <r>
    <n v="206"/>
    <x v="26"/>
    <n v="1"/>
    <n v="0"/>
    <n v="1"/>
    <x v="7"/>
    <b v="0"/>
    <x v="6"/>
    <x v="0"/>
    <n v="0.14000000000000001"/>
    <n v="0.1212"/>
    <n v="0.46"/>
    <n v="0.25369999999999998"/>
    <x v="14"/>
    <x v="118"/>
    <x v="127"/>
  </r>
  <r>
    <n v="231"/>
    <x v="10"/>
    <n v="1"/>
    <n v="0"/>
    <n v="1"/>
    <x v="14"/>
    <b v="0"/>
    <x v="4"/>
    <x v="0"/>
    <n v="0.14000000000000001"/>
    <n v="0.13639999999999999"/>
    <n v="0.59"/>
    <n v="0.19400000000000001"/>
    <x v="8"/>
    <x v="114"/>
    <x v="127"/>
  </r>
  <r>
    <n v="288"/>
    <x v="7"/>
    <n v="1"/>
    <n v="0"/>
    <n v="1"/>
    <x v="13"/>
    <b v="0"/>
    <x v="0"/>
    <x v="1"/>
    <n v="0.16"/>
    <n v="0.13639999999999999"/>
    <n v="0.5"/>
    <n v="0.35820000000000002"/>
    <x v="0"/>
    <x v="119"/>
    <x v="127"/>
  </r>
  <r>
    <n v="593"/>
    <x v="21"/>
    <n v="1"/>
    <n v="0"/>
    <n v="1"/>
    <x v="14"/>
    <b v="0"/>
    <x v="0"/>
    <x v="0"/>
    <n v="0.18"/>
    <n v="0.21210000000000001"/>
    <n v="0.74"/>
    <n v="8.9599999999999999E-2"/>
    <x v="0"/>
    <x v="119"/>
    <x v="127"/>
  </r>
  <r>
    <n v="609"/>
    <x v="14"/>
    <n v="1"/>
    <n v="0"/>
    <n v="1"/>
    <x v="8"/>
    <b v="0"/>
    <x v="2"/>
    <x v="2"/>
    <n v="0.22"/>
    <n v="0.2727"/>
    <n v="0.8"/>
    <n v="0"/>
    <x v="0"/>
    <x v="119"/>
    <x v="127"/>
  </r>
  <r>
    <n v="20"/>
    <x v="20"/>
    <n v="1"/>
    <n v="0"/>
    <n v="1"/>
    <x v="4"/>
    <b v="0"/>
    <x v="5"/>
    <x v="2"/>
    <n v="0.42"/>
    <n v="0.42420000000000002"/>
    <n v="0.88"/>
    <n v="0.25369999999999998"/>
    <x v="11"/>
    <x v="120"/>
    <x v="128"/>
  </r>
  <r>
    <n v="183"/>
    <x v="23"/>
    <n v="1"/>
    <n v="0"/>
    <n v="1"/>
    <x v="14"/>
    <b v="0"/>
    <x v="5"/>
    <x v="0"/>
    <n v="0.12"/>
    <n v="0.1061"/>
    <n v="0.39"/>
    <n v="0.35820000000000002"/>
    <x v="0"/>
    <x v="115"/>
    <x v="128"/>
  </r>
  <r>
    <n v="289"/>
    <x v="7"/>
    <n v="1"/>
    <n v="0"/>
    <n v="1"/>
    <x v="12"/>
    <b v="0"/>
    <x v="0"/>
    <x v="1"/>
    <n v="0.2"/>
    <n v="0.16669999999999999"/>
    <n v="0.44"/>
    <n v="0.44779999999999998"/>
    <x v="9"/>
    <x v="113"/>
    <x v="128"/>
  </r>
  <r>
    <n v="11"/>
    <x v="20"/>
    <n v="1"/>
    <n v="0"/>
    <n v="1"/>
    <x v="13"/>
    <b v="0"/>
    <x v="5"/>
    <x v="0"/>
    <n v="0.38"/>
    <n v="0.39389999999999997"/>
    <n v="0.76"/>
    <n v="0.25369999999999998"/>
    <x v="26"/>
    <x v="117"/>
    <x v="129"/>
  </r>
  <r>
    <n v="21"/>
    <x v="20"/>
    <n v="1"/>
    <n v="0"/>
    <n v="1"/>
    <x v="7"/>
    <b v="0"/>
    <x v="5"/>
    <x v="1"/>
    <n v="0.4"/>
    <n v="0.40910000000000002"/>
    <n v="0.87"/>
    <n v="0.25369999999999998"/>
    <x v="12"/>
    <x v="121"/>
    <x v="129"/>
  </r>
  <r>
    <n v="75"/>
    <x v="5"/>
    <n v="1"/>
    <n v="0"/>
    <n v="1"/>
    <x v="19"/>
    <b v="0"/>
    <x v="1"/>
    <x v="0"/>
    <n v="0.12"/>
    <n v="0.1515"/>
    <n v="0.74"/>
    <n v="0.1045"/>
    <x v="14"/>
    <x v="119"/>
    <x v="129"/>
  </r>
  <r>
    <n v="121"/>
    <x v="2"/>
    <n v="1"/>
    <n v="0"/>
    <n v="1"/>
    <x v="19"/>
    <b v="0"/>
    <x v="0"/>
    <x v="1"/>
    <n v="0.14000000000000001"/>
    <n v="0.16669999999999999"/>
    <n v="0.63"/>
    <n v="0.1045"/>
    <x v="14"/>
    <x v="119"/>
    <x v="129"/>
  </r>
  <r>
    <n v="160"/>
    <x v="6"/>
    <n v="1"/>
    <n v="0"/>
    <n v="1"/>
    <x v="15"/>
    <b v="0"/>
    <x v="2"/>
    <x v="1"/>
    <n v="0.18"/>
    <n v="0.19700000000000001"/>
    <n v="0.43"/>
    <n v="0.16420000000000001"/>
    <x v="0"/>
    <x v="110"/>
    <x v="129"/>
  </r>
  <r>
    <n v="323"/>
    <x v="12"/>
    <n v="1"/>
    <n v="0"/>
    <n v="1"/>
    <x v="15"/>
    <b v="0"/>
    <x v="2"/>
    <x v="1"/>
    <n v="0.16"/>
    <n v="0.2273"/>
    <n v="0.69"/>
    <n v="0"/>
    <x v="0"/>
    <x v="110"/>
    <x v="129"/>
  </r>
  <r>
    <n v="554"/>
    <x v="1"/>
    <n v="1"/>
    <n v="0"/>
    <n v="1"/>
    <x v="19"/>
    <b v="0"/>
    <x v="1"/>
    <x v="0"/>
    <n v="0.16"/>
    <n v="0.18179999999999999"/>
    <n v="0.74"/>
    <n v="0.1045"/>
    <x v="8"/>
    <x v="115"/>
    <x v="129"/>
  </r>
  <r>
    <n v="584"/>
    <x v="27"/>
    <n v="1"/>
    <n v="0"/>
    <n v="1"/>
    <x v="8"/>
    <b v="0"/>
    <x v="3"/>
    <x v="2"/>
    <n v="0.22"/>
    <n v="0.19700000000000001"/>
    <n v="0.93"/>
    <n v="0.35820000000000002"/>
    <x v="14"/>
    <x v="119"/>
    <x v="129"/>
  </r>
  <r>
    <n v="586"/>
    <x v="27"/>
    <n v="1"/>
    <n v="0"/>
    <n v="1"/>
    <x v="6"/>
    <b v="0"/>
    <x v="3"/>
    <x v="3"/>
    <n v="0.22"/>
    <n v="0.19700000000000001"/>
    <n v="0.93"/>
    <n v="0.32840000000000003"/>
    <x v="8"/>
    <x v="115"/>
    <x v="129"/>
  </r>
  <r>
    <n v="19"/>
    <x v="20"/>
    <n v="1"/>
    <n v="0"/>
    <n v="1"/>
    <x v="1"/>
    <b v="0"/>
    <x v="5"/>
    <x v="2"/>
    <n v="0.42"/>
    <n v="0.42420000000000002"/>
    <n v="0.88"/>
    <n v="0.25369999999999998"/>
    <x v="10"/>
    <x v="122"/>
    <x v="130"/>
  </r>
  <r>
    <n v="91"/>
    <x v="5"/>
    <n v="1"/>
    <n v="0"/>
    <n v="1"/>
    <x v="15"/>
    <b v="0"/>
    <x v="1"/>
    <x v="0"/>
    <n v="0.22"/>
    <n v="0.2576"/>
    <n v="0.64"/>
    <n v="8.9599999999999999E-2"/>
    <x v="8"/>
    <x v="110"/>
    <x v="130"/>
  </r>
  <r>
    <n v="243"/>
    <x v="3"/>
    <n v="1"/>
    <n v="0"/>
    <n v="1"/>
    <x v="12"/>
    <b v="0"/>
    <x v="1"/>
    <x v="1"/>
    <n v="0.2"/>
    <n v="0.21210000000000001"/>
    <n v="0.47"/>
    <n v="0.1343"/>
    <x v="9"/>
    <x v="120"/>
    <x v="130"/>
  </r>
  <r>
    <n v="265"/>
    <x v="15"/>
    <n v="1"/>
    <n v="0"/>
    <n v="1"/>
    <x v="12"/>
    <b v="0"/>
    <x v="3"/>
    <x v="0"/>
    <n v="0.2"/>
    <n v="0.18179999999999999"/>
    <n v="0.51"/>
    <n v="0.3881"/>
    <x v="4"/>
    <x v="116"/>
    <x v="130"/>
  </r>
  <r>
    <n v="400"/>
    <x v="16"/>
    <n v="1"/>
    <n v="0"/>
    <n v="1"/>
    <x v="5"/>
    <b v="0"/>
    <x v="1"/>
    <x v="1"/>
    <n v="0.22"/>
    <n v="0.2273"/>
    <n v="0.87"/>
    <n v="0.16420000000000001"/>
    <x v="4"/>
    <x v="116"/>
    <x v="130"/>
  </r>
  <r>
    <n v="438"/>
    <x v="0"/>
    <n v="1"/>
    <n v="0"/>
    <n v="1"/>
    <x v="19"/>
    <b v="0"/>
    <x v="0"/>
    <x v="0"/>
    <n v="0.22"/>
    <n v="0.21210000000000001"/>
    <n v="0.6"/>
    <n v="0.22389999999999999"/>
    <x v="14"/>
    <x v="115"/>
    <x v="130"/>
  </r>
  <r>
    <n v="522"/>
    <x v="19"/>
    <n v="1"/>
    <n v="0"/>
    <n v="1"/>
    <x v="7"/>
    <b v="0"/>
    <x v="6"/>
    <x v="0"/>
    <n v="0.1"/>
    <n v="0.1061"/>
    <n v="0.36"/>
    <n v="0.25369999999999998"/>
    <x v="9"/>
    <x v="120"/>
    <x v="130"/>
  </r>
  <r>
    <n v="547"/>
    <x v="11"/>
    <n v="1"/>
    <n v="0"/>
    <n v="1"/>
    <x v="15"/>
    <b v="0"/>
    <x v="4"/>
    <x v="1"/>
    <n v="0.14000000000000001"/>
    <n v="0.13639999999999999"/>
    <n v="0.63"/>
    <n v="0.22389999999999999"/>
    <x v="4"/>
    <x v="116"/>
    <x v="130"/>
  </r>
  <r>
    <n v="22"/>
    <x v="20"/>
    <n v="1"/>
    <n v="0"/>
    <n v="1"/>
    <x v="14"/>
    <b v="0"/>
    <x v="5"/>
    <x v="1"/>
    <n v="0.4"/>
    <n v="0.40910000000000002"/>
    <n v="0.87"/>
    <n v="0.19400000000000001"/>
    <x v="4"/>
    <x v="120"/>
    <x v="131"/>
  </r>
  <r>
    <n v="144"/>
    <x v="6"/>
    <n v="1"/>
    <n v="0"/>
    <n v="1"/>
    <x v="19"/>
    <b v="0"/>
    <x v="2"/>
    <x v="1"/>
    <n v="0.2"/>
    <n v="0.2576"/>
    <n v="0.69"/>
    <n v="0"/>
    <x v="5"/>
    <x v="122"/>
    <x v="131"/>
  </r>
  <r>
    <n v="184"/>
    <x v="23"/>
    <n v="1"/>
    <n v="0"/>
    <n v="1"/>
    <x v="15"/>
    <b v="0"/>
    <x v="5"/>
    <x v="0"/>
    <n v="0.12"/>
    <n v="0.1061"/>
    <n v="0.36"/>
    <n v="0.3881"/>
    <x v="8"/>
    <x v="113"/>
    <x v="131"/>
  </r>
  <r>
    <n v="478"/>
    <x v="4"/>
    <n v="1"/>
    <n v="0"/>
    <n v="1"/>
    <x v="15"/>
    <b v="0"/>
    <x v="2"/>
    <x v="0"/>
    <n v="0.06"/>
    <n v="3.0300000000000001E-2"/>
    <n v="0.41"/>
    <n v="0.3881"/>
    <x v="8"/>
    <x v="113"/>
    <x v="131"/>
  </r>
  <r>
    <n v="98"/>
    <x v="9"/>
    <n v="1"/>
    <n v="0"/>
    <n v="1"/>
    <x v="19"/>
    <b v="0"/>
    <x v="3"/>
    <x v="0"/>
    <n v="0.2"/>
    <n v="0.19700000000000001"/>
    <n v="0.47"/>
    <n v="0.22389999999999999"/>
    <x v="14"/>
    <x v="113"/>
    <x v="132"/>
  </r>
  <r>
    <n v="276"/>
    <x v="15"/>
    <n v="1"/>
    <n v="0"/>
    <n v="1"/>
    <x v="15"/>
    <b v="0"/>
    <x v="3"/>
    <x v="0"/>
    <n v="0.16"/>
    <n v="0.1212"/>
    <n v="0.55000000000000004"/>
    <n v="0.44779999999999998"/>
    <x v="8"/>
    <x v="116"/>
    <x v="132"/>
  </r>
  <r>
    <n v="334"/>
    <x v="17"/>
    <n v="1"/>
    <n v="0"/>
    <n v="1"/>
    <x v="3"/>
    <b v="0"/>
    <x v="5"/>
    <x v="0"/>
    <n v="0.16"/>
    <n v="0.18179999999999999"/>
    <n v="0.64"/>
    <n v="0.1343"/>
    <x v="0"/>
    <x v="120"/>
    <x v="132"/>
  </r>
  <r>
    <n v="381"/>
    <x v="25"/>
    <n v="1"/>
    <n v="0"/>
    <n v="1"/>
    <x v="0"/>
    <b v="1"/>
    <x v="4"/>
    <x v="1"/>
    <n v="0.16"/>
    <n v="0.1515"/>
    <n v="0.47"/>
    <n v="0.22389999999999999"/>
    <x v="4"/>
    <x v="102"/>
    <x v="132"/>
  </r>
  <r>
    <n v="393"/>
    <x v="25"/>
    <n v="1"/>
    <n v="0"/>
    <n v="1"/>
    <x v="7"/>
    <b v="1"/>
    <x v="4"/>
    <x v="2"/>
    <n v="0.16"/>
    <n v="0.1515"/>
    <n v="0.8"/>
    <n v="0.19400000000000001"/>
    <x v="9"/>
    <x v="123"/>
    <x v="132"/>
  </r>
  <r>
    <n v="407"/>
    <x v="16"/>
    <n v="1"/>
    <n v="0"/>
    <n v="1"/>
    <x v="15"/>
    <b v="0"/>
    <x v="1"/>
    <x v="1"/>
    <n v="0.22"/>
    <n v="0.2576"/>
    <n v="0.93"/>
    <n v="8.9599999999999999E-2"/>
    <x v="14"/>
    <x v="113"/>
    <x v="132"/>
  </r>
  <r>
    <n v="502"/>
    <x v="22"/>
    <n v="1"/>
    <n v="0"/>
    <n v="1"/>
    <x v="16"/>
    <b v="0"/>
    <x v="5"/>
    <x v="0"/>
    <n v="0.04"/>
    <n v="7.5800000000000006E-2"/>
    <n v="0.56999999999999995"/>
    <n v="0.1045"/>
    <x v="0"/>
    <x v="120"/>
    <x v="132"/>
  </r>
  <r>
    <n v="3"/>
    <x v="20"/>
    <n v="1"/>
    <n v="0"/>
    <n v="1"/>
    <x v="20"/>
    <b v="0"/>
    <x v="5"/>
    <x v="0"/>
    <n v="0.22"/>
    <n v="0.2727"/>
    <n v="0.8"/>
    <n v="0"/>
    <x v="1"/>
    <x v="124"/>
    <x v="133"/>
  </r>
  <r>
    <n v="252"/>
    <x v="3"/>
    <n v="1"/>
    <n v="0"/>
    <n v="1"/>
    <x v="7"/>
    <b v="0"/>
    <x v="1"/>
    <x v="2"/>
    <n v="0.16"/>
    <n v="0.1515"/>
    <n v="0.93"/>
    <n v="0.19400000000000001"/>
    <x v="14"/>
    <x v="116"/>
    <x v="133"/>
  </r>
  <r>
    <n v="358"/>
    <x v="18"/>
    <n v="1"/>
    <n v="0"/>
    <n v="1"/>
    <x v="3"/>
    <b v="0"/>
    <x v="6"/>
    <x v="0"/>
    <n v="0.22"/>
    <n v="0.21210000000000001"/>
    <n v="0.51"/>
    <n v="0.25369999999999998"/>
    <x v="4"/>
    <x v="123"/>
    <x v="133"/>
  </r>
  <r>
    <n v="414"/>
    <x v="8"/>
    <n v="1"/>
    <n v="0"/>
    <n v="1"/>
    <x v="19"/>
    <b v="0"/>
    <x v="3"/>
    <x v="1"/>
    <n v="0.22"/>
    <n v="0.2576"/>
    <n v="0.93"/>
    <n v="8.9599999999999999E-2"/>
    <x v="14"/>
    <x v="116"/>
    <x v="133"/>
  </r>
  <r>
    <n v="45"/>
    <x v="24"/>
    <n v="1"/>
    <n v="0"/>
    <n v="1"/>
    <x v="14"/>
    <b v="0"/>
    <x v="6"/>
    <x v="0"/>
    <n v="0.26"/>
    <n v="0.2273"/>
    <n v="0.44"/>
    <n v="0.32840000000000003"/>
    <x v="12"/>
    <x v="125"/>
    <x v="134"/>
  </r>
  <r>
    <n v="216"/>
    <x v="10"/>
    <n v="1"/>
    <n v="0"/>
    <n v="1"/>
    <x v="19"/>
    <b v="0"/>
    <x v="4"/>
    <x v="0"/>
    <n v="0.12"/>
    <n v="0.1212"/>
    <n v="0.5"/>
    <n v="0.28360000000000002"/>
    <x v="14"/>
    <x v="120"/>
    <x v="134"/>
  </r>
  <r>
    <n v="220"/>
    <x v="10"/>
    <n v="1"/>
    <n v="0"/>
    <n v="1"/>
    <x v="13"/>
    <b v="0"/>
    <x v="4"/>
    <x v="1"/>
    <n v="0.14000000000000001"/>
    <n v="0.1212"/>
    <n v="0.5"/>
    <n v="0.29849999999999999"/>
    <x v="14"/>
    <x v="120"/>
    <x v="134"/>
  </r>
  <r>
    <n v="455"/>
    <x v="0"/>
    <n v="1"/>
    <n v="0"/>
    <n v="1"/>
    <x v="16"/>
    <b v="0"/>
    <x v="0"/>
    <x v="1"/>
    <n v="0.24"/>
    <n v="0.21210000000000001"/>
    <n v="0.65"/>
    <n v="0.32840000000000003"/>
    <x v="4"/>
    <x v="126"/>
    <x v="134"/>
  </r>
  <r>
    <n v="608"/>
    <x v="14"/>
    <n v="1"/>
    <n v="0"/>
    <n v="1"/>
    <x v="9"/>
    <b v="0"/>
    <x v="2"/>
    <x v="2"/>
    <n v="0.18"/>
    <n v="0.21210000000000001"/>
    <n v="0.93"/>
    <n v="0.1045"/>
    <x v="14"/>
    <x v="120"/>
    <x v="134"/>
  </r>
  <r>
    <n v="43"/>
    <x v="24"/>
    <n v="1"/>
    <n v="0"/>
    <n v="1"/>
    <x v="4"/>
    <b v="0"/>
    <x v="6"/>
    <x v="0"/>
    <n v="0.32"/>
    <n v="0.28789999999999999"/>
    <n v="0.42"/>
    <n v="0.44779999999999998"/>
    <x v="8"/>
    <x v="123"/>
    <x v="135"/>
  </r>
  <r>
    <n v="52"/>
    <x v="13"/>
    <n v="1"/>
    <n v="0"/>
    <n v="1"/>
    <x v="19"/>
    <b v="0"/>
    <x v="4"/>
    <x v="0"/>
    <n v="0.14000000000000001"/>
    <n v="0.1061"/>
    <n v="0.5"/>
    <n v="0.3881"/>
    <x v="14"/>
    <x v="102"/>
    <x v="135"/>
  </r>
  <r>
    <n v="181"/>
    <x v="23"/>
    <n v="1"/>
    <n v="0"/>
    <n v="1"/>
    <x v="4"/>
    <b v="0"/>
    <x v="5"/>
    <x v="0"/>
    <n v="0.14000000000000001"/>
    <n v="0.1212"/>
    <n v="0.36"/>
    <n v="0.25369999999999998"/>
    <x v="9"/>
    <x v="122"/>
    <x v="135"/>
  </r>
  <r>
    <n v="221"/>
    <x v="10"/>
    <n v="1"/>
    <n v="0"/>
    <n v="1"/>
    <x v="12"/>
    <b v="0"/>
    <x v="4"/>
    <x v="1"/>
    <n v="0.16"/>
    <n v="0.13639999999999999"/>
    <n v="0.47"/>
    <n v="0.28360000000000002"/>
    <x v="0"/>
    <x v="126"/>
    <x v="135"/>
  </r>
  <r>
    <n v="300"/>
    <x v="7"/>
    <n v="1"/>
    <n v="0"/>
    <n v="1"/>
    <x v="15"/>
    <b v="0"/>
    <x v="0"/>
    <x v="0"/>
    <n v="0.14000000000000001"/>
    <n v="0.1212"/>
    <n v="0.46"/>
    <n v="0.32840000000000003"/>
    <x v="14"/>
    <x v="102"/>
    <x v="135"/>
  </r>
  <r>
    <n v="501"/>
    <x v="22"/>
    <n v="1"/>
    <n v="0"/>
    <n v="1"/>
    <x v="15"/>
    <b v="0"/>
    <x v="5"/>
    <x v="0"/>
    <n v="0.06"/>
    <n v="0.1515"/>
    <n v="0.49"/>
    <n v="0"/>
    <x v="2"/>
    <x v="127"/>
    <x v="135"/>
  </r>
  <r>
    <n v="577"/>
    <x v="27"/>
    <n v="1"/>
    <n v="0"/>
    <n v="1"/>
    <x v="11"/>
    <b v="0"/>
    <x v="3"/>
    <x v="2"/>
    <n v="0.22"/>
    <n v="0.21210000000000001"/>
    <n v="0.87"/>
    <n v="0.29849999999999999"/>
    <x v="8"/>
    <x v="123"/>
    <x v="135"/>
  </r>
  <r>
    <n v="606"/>
    <x v="14"/>
    <n v="1"/>
    <n v="0"/>
    <n v="1"/>
    <x v="12"/>
    <b v="0"/>
    <x v="2"/>
    <x v="2"/>
    <n v="0.18"/>
    <n v="0.21210000000000001"/>
    <n v="0.93"/>
    <n v="0.1045"/>
    <x v="14"/>
    <x v="102"/>
    <x v="135"/>
  </r>
  <r>
    <n v="254"/>
    <x v="3"/>
    <n v="1"/>
    <n v="0"/>
    <n v="1"/>
    <x v="15"/>
    <b v="0"/>
    <x v="1"/>
    <x v="2"/>
    <n v="0.16"/>
    <n v="0.18179999999999999"/>
    <n v="0.93"/>
    <n v="0.1045"/>
    <x v="8"/>
    <x v="126"/>
    <x v="136"/>
  </r>
  <r>
    <n v="607"/>
    <x v="14"/>
    <n v="1"/>
    <n v="0"/>
    <n v="1"/>
    <x v="10"/>
    <b v="0"/>
    <x v="2"/>
    <x v="2"/>
    <n v="0.18"/>
    <n v="0.21210000000000001"/>
    <n v="0.93"/>
    <n v="0.1045"/>
    <x v="8"/>
    <x v="126"/>
    <x v="136"/>
  </r>
  <r>
    <n v="23"/>
    <x v="20"/>
    <n v="1"/>
    <n v="0"/>
    <n v="1"/>
    <x v="15"/>
    <b v="0"/>
    <x v="5"/>
    <x v="1"/>
    <n v="0.4"/>
    <n v="0.40910000000000002"/>
    <n v="0.94"/>
    <n v="0.22389999999999999"/>
    <x v="12"/>
    <x v="128"/>
    <x v="137"/>
  </r>
  <r>
    <n v="182"/>
    <x v="23"/>
    <n v="1"/>
    <n v="0"/>
    <n v="1"/>
    <x v="7"/>
    <b v="0"/>
    <x v="5"/>
    <x v="0"/>
    <n v="0.12"/>
    <n v="0.1212"/>
    <n v="0.36"/>
    <n v="0.25369999999999998"/>
    <x v="14"/>
    <x v="126"/>
    <x v="137"/>
  </r>
  <r>
    <n v="284"/>
    <x v="7"/>
    <n v="1"/>
    <n v="0"/>
    <n v="1"/>
    <x v="19"/>
    <b v="0"/>
    <x v="0"/>
    <x v="0"/>
    <n v="0.12"/>
    <n v="0.1515"/>
    <n v="0.54"/>
    <n v="0.1343"/>
    <x v="14"/>
    <x v="126"/>
    <x v="137"/>
  </r>
  <r>
    <n v="325"/>
    <x v="17"/>
    <n v="1"/>
    <n v="0"/>
    <n v="1"/>
    <x v="18"/>
    <b v="0"/>
    <x v="5"/>
    <x v="0"/>
    <n v="0.18"/>
    <n v="0.2424"/>
    <n v="0.55000000000000004"/>
    <n v="0"/>
    <x v="4"/>
    <x v="121"/>
    <x v="137"/>
  </r>
  <r>
    <n v="370"/>
    <x v="18"/>
    <n v="1"/>
    <n v="0"/>
    <n v="1"/>
    <x v="14"/>
    <b v="0"/>
    <x v="6"/>
    <x v="0"/>
    <n v="0.18"/>
    <n v="0.19700000000000001"/>
    <n v="0.51"/>
    <n v="0.16420000000000001"/>
    <x v="11"/>
    <x v="129"/>
    <x v="137"/>
  </r>
  <r>
    <n v="399"/>
    <x v="16"/>
    <n v="1"/>
    <n v="0"/>
    <n v="1"/>
    <x v="8"/>
    <b v="0"/>
    <x v="1"/>
    <x v="1"/>
    <n v="0.22"/>
    <n v="0.2273"/>
    <n v="0.8"/>
    <n v="0.16420000000000001"/>
    <x v="0"/>
    <x v="122"/>
    <x v="137"/>
  </r>
  <r>
    <n v="431"/>
    <x v="8"/>
    <n v="1"/>
    <n v="0"/>
    <n v="1"/>
    <x v="16"/>
    <b v="0"/>
    <x v="3"/>
    <x v="0"/>
    <n v="0.3"/>
    <n v="0.2727"/>
    <n v="0.52"/>
    <n v="0.4627"/>
    <x v="8"/>
    <x v="124"/>
    <x v="137"/>
  </r>
  <r>
    <n v="511"/>
    <x v="19"/>
    <n v="1"/>
    <n v="0"/>
    <n v="1"/>
    <x v="3"/>
    <b v="0"/>
    <x v="6"/>
    <x v="0"/>
    <n v="0.1"/>
    <n v="7.5800000000000006E-2"/>
    <n v="0.54"/>
    <n v="0.35820000000000002"/>
    <x v="4"/>
    <x v="121"/>
    <x v="137"/>
  </r>
  <r>
    <n v="524"/>
    <x v="19"/>
    <n v="1"/>
    <n v="0"/>
    <n v="1"/>
    <x v="15"/>
    <b v="0"/>
    <x v="6"/>
    <x v="0"/>
    <n v="0.08"/>
    <n v="9.0899999999999995E-2"/>
    <n v="0.38"/>
    <n v="0.19400000000000001"/>
    <x v="1"/>
    <x v="127"/>
    <x v="137"/>
  </r>
  <r>
    <n v="580"/>
    <x v="27"/>
    <n v="1"/>
    <n v="0"/>
    <n v="1"/>
    <x v="13"/>
    <b v="0"/>
    <x v="3"/>
    <x v="2"/>
    <n v="0.22"/>
    <n v="0.21210000000000001"/>
    <n v="0.93"/>
    <n v="0.28360000000000002"/>
    <x v="0"/>
    <x v="122"/>
    <x v="137"/>
  </r>
  <r>
    <n v="238"/>
    <x v="3"/>
    <n v="1"/>
    <n v="0"/>
    <n v="1"/>
    <x v="19"/>
    <b v="0"/>
    <x v="1"/>
    <x v="1"/>
    <n v="0.16"/>
    <n v="0.18179999999999999"/>
    <n v="0.55000000000000004"/>
    <n v="0.1343"/>
    <x v="14"/>
    <x v="124"/>
    <x v="138"/>
  </r>
  <r>
    <n v="324"/>
    <x v="12"/>
    <n v="1"/>
    <n v="0"/>
    <n v="1"/>
    <x v="16"/>
    <b v="0"/>
    <x v="2"/>
    <x v="1"/>
    <n v="0.18"/>
    <n v="0.2424"/>
    <n v="0.55000000000000004"/>
    <n v="0"/>
    <x v="8"/>
    <x v="122"/>
    <x v="138"/>
  </r>
  <r>
    <n v="394"/>
    <x v="25"/>
    <n v="1"/>
    <n v="0"/>
    <n v="1"/>
    <x v="14"/>
    <b v="1"/>
    <x v="4"/>
    <x v="2"/>
    <n v="0.16"/>
    <n v="0.1515"/>
    <n v="0.8"/>
    <n v="0.19400000000000001"/>
    <x v="4"/>
    <x v="117"/>
    <x v="138"/>
  </r>
  <r>
    <n v="462"/>
    <x v="4"/>
    <n v="1"/>
    <n v="0"/>
    <n v="1"/>
    <x v="19"/>
    <b v="0"/>
    <x v="2"/>
    <x v="0"/>
    <n v="0.22"/>
    <n v="0.21210000000000001"/>
    <n v="0.55000000000000004"/>
    <n v="0.25369999999999998"/>
    <x v="14"/>
    <x v="124"/>
    <x v="138"/>
  </r>
  <r>
    <n v="479"/>
    <x v="4"/>
    <n v="1"/>
    <n v="0"/>
    <n v="1"/>
    <x v="16"/>
    <b v="0"/>
    <x v="2"/>
    <x v="0"/>
    <n v="0.06"/>
    <n v="4.5499999999999999E-2"/>
    <n v="0.38"/>
    <n v="0.32840000000000003"/>
    <x v="14"/>
    <x v="124"/>
    <x v="138"/>
  </r>
  <r>
    <n v="487"/>
    <x v="22"/>
    <n v="1"/>
    <n v="0"/>
    <n v="1"/>
    <x v="0"/>
    <b v="0"/>
    <x v="5"/>
    <x v="0"/>
    <n v="0.02"/>
    <n v="0"/>
    <n v="0.44"/>
    <n v="0.32840000000000003"/>
    <x v="8"/>
    <x v="122"/>
    <x v="138"/>
  </r>
  <r>
    <n v="594"/>
    <x v="21"/>
    <n v="1"/>
    <n v="0"/>
    <n v="1"/>
    <x v="15"/>
    <b v="0"/>
    <x v="0"/>
    <x v="0"/>
    <n v="0.18"/>
    <n v="0.21210000000000001"/>
    <n v="0.74"/>
    <n v="8.9599999999999999E-2"/>
    <x v="14"/>
    <x v="124"/>
    <x v="138"/>
  </r>
  <r>
    <n v="347"/>
    <x v="17"/>
    <n v="1"/>
    <n v="0"/>
    <n v="1"/>
    <x v="15"/>
    <b v="0"/>
    <x v="5"/>
    <x v="1"/>
    <n v="0.3"/>
    <n v="0.31819999999999998"/>
    <n v="0.42"/>
    <n v="0.1045"/>
    <x v="14"/>
    <x v="122"/>
    <x v="139"/>
  </r>
  <r>
    <n v="587"/>
    <x v="27"/>
    <n v="1"/>
    <n v="0"/>
    <n v="1"/>
    <x v="2"/>
    <b v="0"/>
    <x v="3"/>
    <x v="2"/>
    <n v="0.2"/>
    <n v="0.18179999999999999"/>
    <n v="0.93"/>
    <n v="0.35820000000000002"/>
    <x v="14"/>
    <x v="122"/>
    <x v="139"/>
  </r>
  <r>
    <n v="162"/>
    <x v="23"/>
    <n v="1"/>
    <n v="0"/>
    <n v="1"/>
    <x v="18"/>
    <b v="0"/>
    <x v="5"/>
    <x v="1"/>
    <n v="0.18"/>
    <n v="0.19700000000000001"/>
    <n v="0.51"/>
    <n v="0.16420000000000001"/>
    <x v="8"/>
    <x v="117"/>
    <x v="140"/>
  </r>
  <r>
    <n v="186"/>
    <x v="26"/>
    <n v="1"/>
    <n v="0"/>
    <n v="1"/>
    <x v="18"/>
    <b v="0"/>
    <x v="6"/>
    <x v="0"/>
    <n v="0.1"/>
    <n v="7.5800000000000006E-2"/>
    <n v="0.42"/>
    <n v="0.3881"/>
    <x v="8"/>
    <x v="117"/>
    <x v="140"/>
  </r>
  <r>
    <n v="523"/>
    <x v="19"/>
    <n v="1"/>
    <n v="0"/>
    <n v="1"/>
    <x v="14"/>
    <b v="0"/>
    <x v="6"/>
    <x v="0"/>
    <n v="0.1"/>
    <n v="0.1061"/>
    <n v="0.36"/>
    <n v="0.19400000000000001"/>
    <x v="1"/>
    <x v="125"/>
    <x v="140"/>
  </r>
  <r>
    <n v="232"/>
    <x v="10"/>
    <n v="1"/>
    <n v="0"/>
    <n v="1"/>
    <x v="15"/>
    <b v="0"/>
    <x v="4"/>
    <x v="0"/>
    <n v="0.14000000000000001"/>
    <n v="0.1515"/>
    <n v="0.59"/>
    <n v="0.16420000000000001"/>
    <x v="0"/>
    <x v="129"/>
    <x v="141"/>
  </r>
  <r>
    <n v="548"/>
    <x v="11"/>
    <n v="1"/>
    <n v="0"/>
    <n v="1"/>
    <x v="16"/>
    <b v="0"/>
    <x v="4"/>
    <x v="1"/>
    <n v="0.16"/>
    <n v="0.1515"/>
    <n v="0.64"/>
    <n v="0.25369999999999998"/>
    <x v="4"/>
    <x v="130"/>
    <x v="141"/>
  </r>
  <r>
    <n v="588"/>
    <x v="21"/>
    <n v="1"/>
    <n v="0"/>
    <n v="1"/>
    <x v="6"/>
    <b v="0"/>
    <x v="0"/>
    <x v="0"/>
    <n v="0.22"/>
    <n v="0.2273"/>
    <n v="0.55000000000000004"/>
    <n v="0.19400000000000001"/>
    <x v="8"/>
    <x v="127"/>
    <x v="141"/>
  </r>
  <r>
    <n v="138"/>
    <x v="2"/>
    <n v="1"/>
    <n v="0"/>
    <n v="1"/>
    <x v="16"/>
    <b v="0"/>
    <x v="0"/>
    <x v="1"/>
    <n v="0.2"/>
    <n v="0.19700000000000001"/>
    <n v="0.59"/>
    <n v="0.19400000000000001"/>
    <x v="9"/>
    <x v="131"/>
    <x v="142"/>
  </r>
  <r>
    <n v="333"/>
    <x v="17"/>
    <n v="1"/>
    <n v="0"/>
    <n v="1"/>
    <x v="0"/>
    <b v="0"/>
    <x v="5"/>
    <x v="0"/>
    <n v="0.14000000000000001"/>
    <n v="0.1515"/>
    <n v="0.63"/>
    <n v="0.1343"/>
    <x v="8"/>
    <x v="129"/>
    <x v="142"/>
  </r>
  <r>
    <n v="350"/>
    <x v="18"/>
    <n v="1"/>
    <n v="0"/>
    <n v="1"/>
    <x v="17"/>
    <b v="0"/>
    <x v="6"/>
    <x v="0"/>
    <n v="0.26"/>
    <n v="0.2727"/>
    <n v="0.56000000000000005"/>
    <n v="0.1343"/>
    <x v="9"/>
    <x v="131"/>
    <x v="142"/>
  </r>
  <r>
    <n v="44"/>
    <x v="24"/>
    <n v="1"/>
    <n v="0"/>
    <n v="1"/>
    <x v="7"/>
    <b v="0"/>
    <x v="6"/>
    <x v="0"/>
    <n v="0.3"/>
    <m/>
    <n v="0.39"/>
    <n v="0.35820000000000002"/>
    <x v="1"/>
    <x v="128"/>
    <x v="143"/>
  </r>
  <r>
    <n v="185"/>
    <x v="23"/>
    <n v="1"/>
    <n v="0"/>
    <n v="1"/>
    <x v="16"/>
    <b v="0"/>
    <x v="5"/>
    <x v="0"/>
    <n v="0.1"/>
    <n v="6.0600000000000001E-2"/>
    <n v="0.39"/>
    <n v="0.44779999999999998"/>
    <x v="14"/>
    <x v="129"/>
    <x v="143"/>
  </r>
  <r>
    <n v="398"/>
    <x v="16"/>
    <n v="1"/>
    <n v="0"/>
    <n v="1"/>
    <x v="9"/>
    <b v="0"/>
    <x v="1"/>
    <x v="1"/>
    <n v="0.2"/>
    <n v="0.19700000000000001"/>
    <n v="0.86"/>
    <n v="0.22389999999999999"/>
    <x v="14"/>
    <x v="129"/>
    <x v="143"/>
  </r>
  <r>
    <n v="503"/>
    <x v="19"/>
    <n v="1"/>
    <n v="0"/>
    <n v="1"/>
    <x v="18"/>
    <b v="0"/>
    <x v="6"/>
    <x v="0"/>
    <n v="0.04"/>
    <n v="7.5800000000000006E-2"/>
    <n v="0.56999999999999995"/>
    <n v="0.1045"/>
    <x v="0"/>
    <x v="125"/>
    <x v="143"/>
  </r>
  <r>
    <n v="371"/>
    <x v="18"/>
    <n v="1"/>
    <n v="0"/>
    <n v="1"/>
    <x v="15"/>
    <b v="0"/>
    <x v="6"/>
    <x v="1"/>
    <n v="0.2"/>
    <n v="0.21210000000000001"/>
    <n v="0.49"/>
    <n v="0.1343"/>
    <x v="0"/>
    <x v="131"/>
    <x v="144"/>
  </r>
  <r>
    <n v="456"/>
    <x v="4"/>
    <n v="1"/>
    <n v="0"/>
    <n v="1"/>
    <x v="18"/>
    <b v="0"/>
    <x v="2"/>
    <x v="1"/>
    <n v="0.24"/>
    <n v="0.2273"/>
    <n v="0.7"/>
    <n v="0.25369999999999998"/>
    <x v="8"/>
    <x v="125"/>
    <x v="144"/>
  </r>
  <r>
    <n v="525"/>
    <x v="19"/>
    <n v="1"/>
    <n v="0"/>
    <n v="1"/>
    <x v="16"/>
    <b v="0"/>
    <x v="6"/>
    <x v="0"/>
    <n v="0.06"/>
    <n v="6.0600000000000001E-2"/>
    <n v="0.41"/>
    <n v="0.22389999999999999"/>
    <x v="9"/>
    <x v="128"/>
    <x v="144"/>
  </r>
  <r>
    <n v="33"/>
    <x v="24"/>
    <n v="1"/>
    <n v="0"/>
    <n v="1"/>
    <x v="3"/>
    <b v="0"/>
    <x v="6"/>
    <x v="1"/>
    <n v="0.38"/>
    <m/>
    <n v="0.76"/>
    <n v="0.22389999999999999"/>
    <x v="8"/>
    <x v="131"/>
    <x v="145"/>
  </r>
  <r>
    <n v="68"/>
    <x v="13"/>
    <n v="1"/>
    <n v="0"/>
    <n v="1"/>
    <x v="15"/>
    <b v="0"/>
    <x v="4"/>
    <x v="0"/>
    <n v="0.14000000000000001"/>
    <n v="0.1515"/>
    <n v="0.69"/>
    <n v="0.1343"/>
    <x v="14"/>
    <x v="125"/>
    <x v="145"/>
  </r>
  <r>
    <n v="171"/>
    <x v="23"/>
    <n v="1"/>
    <n v="0"/>
    <n v="1"/>
    <x v="3"/>
    <b v="0"/>
    <x v="5"/>
    <x v="2"/>
    <n v="0.16"/>
    <n v="0.18179999999999999"/>
    <n v="0.93"/>
    <n v="0.1045"/>
    <x v="14"/>
    <x v="125"/>
    <x v="145"/>
  </r>
  <r>
    <n v="207"/>
    <x v="26"/>
    <n v="1"/>
    <n v="0"/>
    <n v="1"/>
    <x v="14"/>
    <b v="0"/>
    <x v="6"/>
    <x v="0"/>
    <n v="0.14000000000000001"/>
    <n v="0.1061"/>
    <n v="0.46"/>
    <n v="0.41789999999999999"/>
    <x v="8"/>
    <x v="131"/>
    <x v="145"/>
  </r>
  <r>
    <n v="253"/>
    <x v="3"/>
    <n v="1"/>
    <n v="0"/>
    <n v="1"/>
    <x v="14"/>
    <b v="0"/>
    <x v="1"/>
    <x v="2"/>
    <n v="0.16"/>
    <n v="0.19700000000000001"/>
    <n v="0.86"/>
    <n v="8.9599999999999999E-2"/>
    <x v="14"/>
    <x v="125"/>
    <x v="145"/>
  </r>
  <r>
    <n v="277"/>
    <x v="15"/>
    <n v="1"/>
    <n v="0"/>
    <n v="1"/>
    <x v="16"/>
    <b v="0"/>
    <x v="3"/>
    <x v="0"/>
    <n v="0.14000000000000001"/>
    <n v="0.1061"/>
    <n v="0.59"/>
    <n v="0.41789999999999999"/>
    <x v="8"/>
    <x v="131"/>
    <x v="145"/>
  </r>
  <r>
    <n v="326"/>
    <x v="17"/>
    <n v="1"/>
    <n v="0"/>
    <n v="1"/>
    <x v="17"/>
    <b v="0"/>
    <x v="5"/>
    <x v="1"/>
    <n v="0.16"/>
    <n v="0.19700000000000001"/>
    <n v="0.59"/>
    <n v="8.9599999999999999E-2"/>
    <x v="0"/>
    <x v="132"/>
    <x v="145"/>
  </r>
  <r>
    <n v="408"/>
    <x v="16"/>
    <n v="1"/>
    <n v="0"/>
    <n v="1"/>
    <x v="16"/>
    <b v="0"/>
    <x v="1"/>
    <x v="1"/>
    <n v="0.22"/>
    <n v="0.2727"/>
    <n v="0.93"/>
    <n v="0"/>
    <x v="8"/>
    <x v="131"/>
    <x v="145"/>
  </r>
  <r>
    <n v="115"/>
    <x v="9"/>
    <n v="1"/>
    <n v="0"/>
    <n v="1"/>
    <x v="16"/>
    <b v="0"/>
    <x v="3"/>
    <x v="0"/>
    <n v="0.2"/>
    <n v="0.2576"/>
    <n v="0.47"/>
    <n v="0"/>
    <x v="8"/>
    <x v="132"/>
    <x v="146"/>
  </r>
  <r>
    <n v="195"/>
    <x v="26"/>
    <n v="1"/>
    <n v="0"/>
    <n v="1"/>
    <x v="3"/>
    <b v="0"/>
    <x v="6"/>
    <x v="0"/>
    <n v="0.12"/>
    <n v="7.5800000000000006E-2"/>
    <n v="0.46"/>
    <n v="0.52239999999999998"/>
    <x v="14"/>
    <x v="131"/>
    <x v="146"/>
  </r>
  <r>
    <n v="255"/>
    <x v="3"/>
    <n v="1"/>
    <n v="0"/>
    <n v="1"/>
    <x v="16"/>
    <b v="0"/>
    <x v="1"/>
    <x v="2"/>
    <n v="0.16"/>
    <n v="0.19700000000000001"/>
    <n v="0.93"/>
    <n v="8.9599999999999999E-2"/>
    <x v="8"/>
    <x v="132"/>
    <x v="146"/>
  </r>
  <r>
    <n v="510"/>
    <x v="19"/>
    <n v="1"/>
    <n v="0"/>
    <n v="1"/>
    <x v="0"/>
    <b v="0"/>
    <x v="6"/>
    <x v="0"/>
    <n v="0.06"/>
    <n v="7.5800000000000006E-2"/>
    <n v="0.62"/>
    <n v="0.16420000000000001"/>
    <x v="0"/>
    <x v="128"/>
    <x v="146"/>
  </r>
  <r>
    <n v="233"/>
    <x v="10"/>
    <n v="1"/>
    <n v="0"/>
    <n v="1"/>
    <x v="16"/>
    <b v="0"/>
    <x v="4"/>
    <x v="0"/>
    <n v="0.14000000000000001"/>
    <n v="0.1515"/>
    <n v="0.59"/>
    <n v="0.16420000000000001"/>
    <x v="14"/>
    <x v="132"/>
    <x v="147"/>
  </r>
  <r>
    <n v="357"/>
    <x v="18"/>
    <n v="1"/>
    <n v="0"/>
    <n v="1"/>
    <x v="0"/>
    <b v="0"/>
    <x v="6"/>
    <x v="0"/>
    <n v="0.22"/>
    <n v="0.21210000000000001"/>
    <n v="0.55000000000000004"/>
    <n v="0.28360000000000002"/>
    <x v="14"/>
    <x v="132"/>
    <x v="147"/>
  </r>
  <r>
    <n v="372"/>
    <x v="18"/>
    <n v="1"/>
    <n v="0"/>
    <n v="1"/>
    <x v="16"/>
    <b v="0"/>
    <x v="6"/>
    <x v="1"/>
    <n v="0.2"/>
    <n v="0.2273"/>
    <n v="0.4"/>
    <n v="0.1045"/>
    <x v="14"/>
    <x v="132"/>
    <x v="147"/>
  </r>
  <r>
    <n v="505"/>
    <x v="19"/>
    <n v="1"/>
    <n v="0"/>
    <n v="1"/>
    <x v="20"/>
    <b v="0"/>
    <x v="6"/>
    <x v="0"/>
    <n v="0.02"/>
    <n v="6.0600000000000001E-2"/>
    <n v="0.62"/>
    <n v="0.1343"/>
    <x v="4"/>
    <x v="133"/>
    <x v="147"/>
  </r>
  <r>
    <n v="25"/>
    <x v="24"/>
    <n v="1"/>
    <n v="0"/>
    <n v="1"/>
    <x v="18"/>
    <b v="0"/>
    <x v="6"/>
    <x v="1"/>
    <n v="0.46"/>
    <n v="0.45450000000000002"/>
    <n v="0.88"/>
    <n v="0.29849999999999999"/>
    <x v="9"/>
    <x v="134"/>
    <x v="148"/>
  </r>
  <r>
    <n v="26"/>
    <x v="24"/>
    <n v="1"/>
    <n v="0"/>
    <n v="1"/>
    <x v="17"/>
    <b v="0"/>
    <x v="6"/>
    <x v="1"/>
    <n v="0.44"/>
    <n v="0.43940000000000001"/>
    <n v="0.94"/>
    <n v="0.25369999999999998"/>
    <x v="8"/>
    <x v="135"/>
    <x v="148"/>
  </r>
  <r>
    <n v="139"/>
    <x v="6"/>
    <n v="1"/>
    <n v="0"/>
    <n v="1"/>
    <x v="18"/>
    <b v="0"/>
    <x v="2"/>
    <x v="1"/>
    <n v="0.2"/>
    <n v="0.19700000000000001"/>
    <n v="0.64"/>
    <n v="0.19400000000000001"/>
    <x v="9"/>
    <x v="134"/>
    <x v="148"/>
  </r>
  <r>
    <n v="307"/>
    <x v="12"/>
    <n v="1"/>
    <n v="0"/>
    <n v="1"/>
    <x v="19"/>
    <b v="0"/>
    <x v="2"/>
    <x v="0"/>
    <n v="0.1"/>
    <n v="0.18179999999999999"/>
    <n v="0.54"/>
    <n v="0"/>
    <x v="14"/>
    <x v="128"/>
    <x v="148"/>
  </r>
  <r>
    <n v="373"/>
    <x v="25"/>
    <n v="1"/>
    <n v="0"/>
    <n v="1"/>
    <x v="18"/>
    <b v="1"/>
    <x v="4"/>
    <x v="1"/>
    <n v="0.2"/>
    <n v="0.19700000000000001"/>
    <n v="0.47"/>
    <n v="0.22389999999999999"/>
    <x v="8"/>
    <x v="135"/>
    <x v="148"/>
  </r>
  <r>
    <n v="572"/>
    <x v="27"/>
    <n v="1"/>
    <n v="0"/>
    <n v="1"/>
    <x v="18"/>
    <b v="0"/>
    <x v="3"/>
    <x v="1"/>
    <n v="0.22"/>
    <n v="0.2273"/>
    <n v="0.69"/>
    <n v="0.1343"/>
    <x v="4"/>
    <x v="136"/>
    <x v="148"/>
  </r>
  <r>
    <n v="1"/>
    <x v="20"/>
    <n v="1"/>
    <n v="0"/>
    <n v="1"/>
    <x v="18"/>
    <b v="0"/>
    <x v="5"/>
    <x v="0"/>
    <n v="0.24"/>
    <n v="0.28789999999999999"/>
    <n v="0.81"/>
    <n v="0"/>
    <x v="4"/>
    <x v="134"/>
    <x v="149"/>
  </r>
  <r>
    <n v="163"/>
    <x v="23"/>
    <n v="1"/>
    <n v="0"/>
    <n v="1"/>
    <x v="17"/>
    <b v="0"/>
    <x v="5"/>
    <x v="1"/>
    <n v="0.18"/>
    <n v="0.21210000000000001"/>
    <n v="0.55000000000000004"/>
    <n v="8.9599999999999999E-2"/>
    <x v="8"/>
    <x v="133"/>
    <x v="149"/>
  </r>
  <r>
    <n v="164"/>
    <x v="23"/>
    <n v="1"/>
    <n v="0"/>
    <n v="1"/>
    <x v="20"/>
    <b v="0"/>
    <x v="5"/>
    <x v="1"/>
    <n v="0.18"/>
    <n v="0.2424"/>
    <n v="0.55000000000000004"/>
    <n v="0"/>
    <x v="4"/>
    <x v="134"/>
    <x v="149"/>
  </r>
  <r>
    <n v="260"/>
    <x v="15"/>
    <n v="1"/>
    <n v="0"/>
    <n v="1"/>
    <x v="19"/>
    <b v="0"/>
    <x v="3"/>
    <x v="0"/>
    <n v="0.12"/>
    <n v="0.1515"/>
    <n v="0.93"/>
    <n v="0.1343"/>
    <x v="14"/>
    <x v="135"/>
    <x v="149"/>
  </r>
  <r>
    <n v="351"/>
    <x v="18"/>
    <n v="1"/>
    <n v="0"/>
    <n v="1"/>
    <x v="20"/>
    <b v="0"/>
    <x v="6"/>
    <x v="0"/>
    <n v="0.26"/>
    <n v="0.28789999999999999"/>
    <n v="0.56000000000000005"/>
    <n v="8.9599999999999999E-2"/>
    <x v="4"/>
    <x v="134"/>
    <x v="149"/>
  </r>
  <r>
    <n v="374"/>
    <x v="25"/>
    <n v="1"/>
    <n v="0"/>
    <n v="1"/>
    <x v="17"/>
    <b v="1"/>
    <x v="4"/>
    <x v="1"/>
    <n v="0.2"/>
    <n v="0.19700000000000001"/>
    <n v="0.44"/>
    <n v="0.19400000000000001"/>
    <x v="8"/>
    <x v="133"/>
    <x v="149"/>
  </r>
  <r>
    <n v="595"/>
    <x v="21"/>
    <n v="1"/>
    <n v="0"/>
    <n v="1"/>
    <x v="16"/>
    <b v="0"/>
    <x v="0"/>
    <x v="0"/>
    <n v="0.18"/>
    <n v="0.19700000000000001"/>
    <n v="0.8"/>
    <n v="0.16420000000000001"/>
    <x v="14"/>
    <x v="135"/>
    <x v="149"/>
  </r>
  <r>
    <n v="601"/>
    <x v="14"/>
    <n v="1"/>
    <n v="0"/>
    <n v="1"/>
    <x v="19"/>
    <b v="0"/>
    <x v="2"/>
    <x v="1"/>
    <n v="0.18"/>
    <n v="0.19700000000000001"/>
    <n v="0.8"/>
    <n v="0.1343"/>
    <x v="14"/>
    <x v="135"/>
    <x v="149"/>
  </r>
  <r>
    <n v="161"/>
    <x v="6"/>
    <n v="1"/>
    <n v="0"/>
    <n v="1"/>
    <x v="16"/>
    <b v="0"/>
    <x v="2"/>
    <x v="1"/>
    <n v="0.18"/>
    <n v="0.19700000000000001"/>
    <n v="0.51"/>
    <n v="0.16420000000000001"/>
    <x v="8"/>
    <x v="136"/>
    <x v="150"/>
  </r>
  <r>
    <n v="170"/>
    <x v="23"/>
    <n v="1"/>
    <n v="0"/>
    <n v="1"/>
    <x v="0"/>
    <b v="0"/>
    <x v="5"/>
    <x v="2"/>
    <n v="0.16"/>
    <n v="0.18179999999999999"/>
    <n v="0.93"/>
    <n v="0.1045"/>
    <x v="14"/>
    <x v="133"/>
    <x v="150"/>
  </r>
  <r>
    <n v="208"/>
    <x v="26"/>
    <n v="1"/>
    <n v="0"/>
    <n v="1"/>
    <x v="15"/>
    <b v="0"/>
    <x v="6"/>
    <x v="0"/>
    <n v="0.14000000000000001"/>
    <n v="0.1212"/>
    <n v="0.46"/>
    <n v="0.29849999999999999"/>
    <x v="1"/>
    <x v="137"/>
    <x v="150"/>
  </r>
  <r>
    <n v="301"/>
    <x v="7"/>
    <n v="1"/>
    <n v="0"/>
    <n v="1"/>
    <x v="16"/>
    <b v="0"/>
    <x v="0"/>
    <x v="0"/>
    <n v="0.12"/>
    <n v="0.13639999999999999"/>
    <n v="0.5"/>
    <n v="0.19400000000000001"/>
    <x v="8"/>
    <x v="136"/>
    <x v="150"/>
  </r>
  <r>
    <n v="352"/>
    <x v="18"/>
    <n v="1"/>
    <n v="0"/>
    <n v="1"/>
    <x v="21"/>
    <b v="0"/>
    <x v="6"/>
    <x v="0"/>
    <n v="0.22"/>
    <n v="0.2727"/>
    <n v="0.69"/>
    <n v="0"/>
    <x v="10"/>
    <x v="138"/>
    <x v="150"/>
  </r>
  <r>
    <n v="531"/>
    <x v="11"/>
    <n v="1"/>
    <n v="0"/>
    <n v="1"/>
    <x v="19"/>
    <b v="0"/>
    <x v="4"/>
    <x v="0"/>
    <n v="0.02"/>
    <n v="7.5800000000000006E-2"/>
    <n v="0.48"/>
    <n v="8.9599999999999999E-2"/>
    <x v="14"/>
    <x v="133"/>
    <x v="150"/>
  </r>
  <r>
    <n v="10"/>
    <x v="20"/>
    <n v="1"/>
    <n v="0"/>
    <n v="1"/>
    <x v="3"/>
    <b v="0"/>
    <x v="5"/>
    <x v="0"/>
    <n v="0.32"/>
    <n v="0.34849999999999998"/>
    <n v="0.76"/>
    <n v="0"/>
    <x v="5"/>
    <x v="138"/>
    <x v="151"/>
  </r>
  <r>
    <n v="302"/>
    <x v="12"/>
    <n v="1"/>
    <n v="0"/>
    <n v="1"/>
    <x v="18"/>
    <b v="0"/>
    <x v="2"/>
    <x v="0"/>
    <n v="0.12"/>
    <n v="0.13639999999999999"/>
    <n v="0.5"/>
    <n v="0.19400000000000001"/>
    <x v="14"/>
    <x v="136"/>
    <x v="151"/>
  </r>
  <r>
    <n v="4"/>
    <x v="20"/>
    <n v="1"/>
    <n v="0"/>
    <n v="1"/>
    <x v="21"/>
    <b v="0"/>
    <x v="5"/>
    <x v="0"/>
    <n v="0.24"/>
    <n v="0.28789999999999999"/>
    <n v="0.75"/>
    <n v="0"/>
    <x v="4"/>
    <x v="137"/>
    <x v="152"/>
  </r>
  <r>
    <n v="380"/>
    <x v="25"/>
    <n v="1"/>
    <n v="0"/>
    <n v="1"/>
    <x v="11"/>
    <b v="1"/>
    <x v="4"/>
    <x v="1"/>
    <n v="0.16"/>
    <n v="0.18179999999999999"/>
    <n v="0.5"/>
    <n v="0.1343"/>
    <x v="9"/>
    <x v="139"/>
    <x v="152"/>
  </r>
  <r>
    <n v="395"/>
    <x v="25"/>
    <n v="1"/>
    <n v="0"/>
    <n v="1"/>
    <x v="15"/>
    <b v="1"/>
    <x v="4"/>
    <x v="2"/>
    <n v="0.14000000000000001"/>
    <n v="0.1212"/>
    <n v="0.93"/>
    <n v="0.25369999999999998"/>
    <x v="14"/>
    <x v="134"/>
    <x v="152"/>
  </r>
  <r>
    <n v="432"/>
    <x v="0"/>
    <n v="1"/>
    <n v="0"/>
    <n v="1"/>
    <x v="18"/>
    <b v="0"/>
    <x v="0"/>
    <x v="0"/>
    <n v="0.26"/>
    <n v="0.2273"/>
    <n v="0.56000000000000005"/>
    <n v="0.3881"/>
    <x v="1"/>
    <x v="140"/>
    <x v="152"/>
  </r>
  <r>
    <n v="480"/>
    <x v="22"/>
    <n v="1"/>
    <n v="0"/>
    <n v="1"/>
    <x v="18"/>
    <b v="0"/>
    <x v="5"/>
    <x v="0"/>
    <n v="0.04"/>
    <n v="3.0300000000000001E-2"/>
    <n v="0.45"/>
    <n v="0.25369999999999998"/>
    <x v="14"/>
    <x v="134"/>
    <x v="152"/>
  </r>
  <r>
    <n v="504"/>
    <x v="19"/>
    <n v="1"/>
    <n v="0"/>
    <n v="1"/>
    <x v="17"/>
    <b v="0"/>
    <x v="6"/>
    <x v="0"/>
    <n v="0.04"/>
    <n v="7.5800000000000006E-2"/>
    <n v="0.56999999999999995"/>
    <n v="0.1045"/>
    <x v="8"/>
    <x v="141"/>
    <x v="152"/>
  </r>
  <r>
    <n v="69"/>
    <x v="13"/>
    <n v="1"/>
    <n v="0"/>
    <n v="1"/>
    <x v="16"/>
    <b v="0"/>
    <x v="4"/>
    <x v="0"/>
    <n v="0.18"/>
    <n v="0.21210000000000001"/>
    <n v="0.55000000000000004"/>
    <n v="0.1045"/>
    <x v="8"/>
    <x v="142"/>
    <x v="153"/>
  </r>
  <r>
    <n v="187"/>
    <x v="26"/>
    <n v="1"/>
    <n v="0"/>
    <n v="1"/>
    <x v="17"/>
    <b v="0"/>
    <x v="6"/>
    <x v="0"/>
    <n v="0.1"/>
    <n v="6.0600000000000001E-2"/>
    <n v="0.42"/>
    <n v="0.4627"/>
    <x v="14"/>
    <x v="141"/>
    <x v="153"/>
  </r>
  <r>
    <n v="234"/>
    <x v="3"/>
    <n v="1"/>
    <n v="0"/>
    <n v="1"/>
    <x v="18"/>
    <b v="0"/>
    <x v="1"/>
    <x v="0"/>
    <n v="0.14000000000000001"/>
    <n v="0.16669999999999999"/>
    <n v="0.59"/>
    <n v="0.1045"/>
    <x v="0"/>
    <x v="137"/>
    <x v="153"/>
  </r>
  <r>
    <n v="327"/>
    <x v="17"/>
    <n v="1"/>
    <n v="0"/>
    <n v="1"/>
    <x v="20"/>
    <b v="0"/>
    <x v="5"/>
    <x v="1"/>
    <n v="0.16"/>
    <n v="0.19700000000000001"/>
    <n v="0.59"/>
    <n v="8.9599999999999999E-2"/>
    <x v="14"/>
    <x v="141"/>
    <x v="153"/>
  </r>
  <r>
    <n v="481"/>
    <x v="22"/>
    <n v="1"/>
    <n v="0"/>
    <n v="1"/>
    <x v="17"/>
    <b v="0"/>
    <x v="5"/>
    <x v="1"/>
    <n v="0.04"/>
    <n v="0"/>
    <n v="0.41"/>
    <n v="0.3881"/>
    <x v="4"/>
    <x v="139"/>
    <x v="153"/>
  </r>
  <r>
    <n v="92"/>
    <x v="5"/>
    <n v="1"/>
    <n v="0"/>
    <n v="1"/>
    <x v="16"/>
    <b v="0"/>
    <x v="1"/>
    <x v="0"/>
    <n v="0.2"/>
    <n v="0.2273"/>
    <n v="0.69"/>
    <n v="8.9599999999999999E-2"/>
    <x v="0"/>
    <x v="139"/>
    <x v="154"/>
  </r>
  <r>
    <n v="116"/>
    <x v="2"/>
    <n v="1"/>
    <n v="0"/>
    <n v="1"/>
    <x v="18"/>
    <b v="0"/>
    <x v="0"/>
    <x v="0"/>
    <n v="0.18"/>
    <n v="0.2424"/>
    <n v="0.55000000000000004"/>
    <n v="0"/>
    <x v="14"/>
    <x v="142"/>
    <x v="154"/>
  </r>
  <r>
    <n v="188"/>
    <x v="26"/>
    <n v="1"/>
    <n v="0"/>
    <n v="1"/>
    <x v="20"/>
    <b v="0"/>
    <x v="6"/>
    <x v="0"/>
    <n v="0.1"/>
    <n v="6.0600000000000001E-2"/>
    <n v="0.46"/>
    <n v="0.4627"/>
    <x v="14"/>
    <x v="142"/>
    <x v="154"/>
  </r>
  <r>
    <n v="482"/>
    <x v="22"/>
    <n v="1"/>
    <n v="0"/>
    <n v="1"/>
    <x v="20"/>
    <b v="0"/>
    <x v="5"/>
    <x v="1"/>
    <n v="0.04"/>
    <n v="3.0300000000000001E-2"/>
    <n v="0.41"/>
    <n v="0.25369999999999998"/>
    <x v="14"/>
    <x v="142"/>
    <x v="154"/>
  </r>
  <r>
    <n v="194"/>
    <x v="26"/>
    <n v="1"/>
    <n v="0"/>
    <n v="1"/>
    <x v="0"/>
    <b v="0"/>
    <x v="6"/>
    <x v="0"/>
    <n v="0.1"/>
    <n v="9.0899999999999995E-2"/>
    <n v="0.49"/>
    <n v="0.28360000000000002"/>
    <x v="14"/>
    <x v="137"/>
    <x v="155"/>
  </r>
  <r>
    <n v="332"/>
    <x v="17"/>
    <n v="1"/>
    <n v="0"/>
    <n v="1"/>
    <x v="11"/>
    <b v="0"/>
    <x v="5"/>
    <x v="0"/>
    <n v="0.14000000000000001"/>
    <n v="0.21210000000000001"/>
    <n v="0.63"/>
    <n v="0"/>
    <x v="8"/>
    <x v="139"/>
    <x v="155"/>
  </r>
  <r>
    <n v="574"/>
    <x v="27"/>
    <n v="1"/>
    <n v="0"/>
    <n v="1"/>
    <x v="20"/>
    <b v="0"/>
    <x v="3"/>
    <x v="2"/>
    <n v="0.22"/>
    <n v="0.2273"/>
    <n v="0.69"/>
    <n v="0.19400000000000001"/>
    <x v="4"/>
    <x v="143"/>
    <x v="155"/>
  </r>
  <r>
    <n v="27"/>
    <x v="24"/>
    <n v="1"/>
    <n v="0"/>
    <n v="1"/>
    <x v="20"/>
    <b v="0"/>
    <x v="6"/>
    <x v="1"/>
    <n v="0.42"/>
    <n v="0.42420000000000002"/>
    <n v="1"/>
    <n v="0.28360000000000002"/>
    <x v="8"/>
    <x v="140"/>
    <x v="156"/>
  </r>
  <r>
    <n v="46"/>
    <x v="24"/>
    <n v="1"/>
    <n v="0"/>
    <n v="1"/>
    <x v="15"/>
    <b v="0"/>
    <x v="6"/>
    <x v="0"/>
    <n v="0.24"/>
    <n v="0.21210000000000001"/>
    <n v="0.44"/>
    <n v="0.29849999999999999"/>
    <x v="14"/>
    <x v="139"/>
    <x v="156"/>
  </r>
  <r>
    <n v="169"/>
    <x v="23"/>
    <n v="1"/>
    <n v="0"/>
    <n v="1"/>
    <x v="11"/>
    <b v="0"/>
    <x v="5"/>
    <x v="1"/>
    <n v="0.16"/>
    <n v="0.18179999999999999"/>
    <n v="0.74"/>
    <n v="0.1045"/>
    <x v="8"/>
    <x v="140"/>
    <x v="156"/>
  </r>
  <r>
    <n v="549"/>
    <x v="1"/>
    <n v="1"/>
    <n v="0"/>
    <n v="1"/>
    <x v="18"/>
    <b v="0"/>
    <x v="1"/>
    <x v="1"/>
    <n v="0.16"/>
    <n v="0.13639999999999999"/>
    <n v="0.69"/>
    <n v="0.28360000000000002"/>
    <x v="4"/>
    <x v="138"/>
    <x v="156"/>
  </r>
  <r>
    <n v="553"/>
    <x v="1"/>
    <n v="1"/>
    <n v="0"/>
    <n v="1"/>
    <x v="22"/>
    <b v="0"/>
    <x v="1"/>
    <x v="0"/>
    <n v="0.14000000000000001"/>
    <n v="0.13639999999999999"/>
    <n v="0.74"/>
    <n v="0.22389999999999999"/>
    <x v="14"/>
    <x v="139"/>
    <x v="156"/>
  </r>
  <r>
    <n v="596"/>
    <x v="14"/>
    <n v="1"/>
    <n v="0"/>
    <n v="1"/>
    <x v="18"/>
    <b v="0"/>
    <x v="2"/>
    <x v="1"/>
    <n v="0.2"/>
    <n v="0.21210000000000001"/>
    <n v="0.75"/>
    <n v="0.1343"/>
    <x v="14"/>
    <x v="139"/>
    <x v="156"/>
  </r>
  <r>
    <n v="9"/>
    <x v="20"/>
    <n v="1"/>
    <n v="0"/>
    <n v="1"/>
    <x v="0"/>
    <b v="0"/>
    <x v="5"/>
    <x v="0"/>
    <n v="0.24"/>
    <m/>
    <n v="0.75"/>
    <n v="0"/>
    <x v="8"/>
    <x v="143"/>
    <x v="157"/>
  </r>
  <r>
    <n v="32"/>
    <x v="24"/>
    <n v="1"/>
    <n v="0"/>
    <n v="1"/>
    <x v="0"/>
    <b v="0"/>
    <x v="6"/>
    <x v="2"/>
    <n v="0.4"/>
    <n v="0.40910000000000002"/>
    <n v="0.71"/>
    <n v="0.22389999999999999"/>
    <x v="14"/>
    <x v="140"/>
    <x v="157"/>
  </r>
  <r>
    <n v="47"/>
    <x v="24"/>
    <n v="1"/>
    <n v="0"/>
    <n v="1"/>
    <x v="16"/>
    <b v="0"/>
    <x v="6"/>
    <x v="0"/>
    <n v="0.22"/>
    <n v="0.2273"/>
    <n v="0.47"/>
    <n v="0.16420000000000001"/>
    <x v="14"/>
    <x v="140"/>
    <x v="157"/>
  </r>
  <r>
    <n v="306"/>
    <x v="12"/>
    <n v="1"/>
    <n v="0"/>
    <n v="1"/>
    <x v="22"/>
    <b v="0"/>
    <x v="2"/>
    <x v="0"/>
    <n v="0.1"/>
    <n v="0.13639999999999999"/>
    <n v="0.54"/>
    <n v="8.9599999999999999E-2"/>
    <x v="14"/>
    <x v="140"/>
    <x v="157"/>
  </r>
  <r>
    <n v="328"/>
    <x v="17"/>
    <n v="1"/>
    <n v="0"/>
    <n v="1"/>
    <x v="21"/>
    <b v="0"/>
    <x v="5"/>
    <x v="1"/>
    <n v="0.16"/>
    <n v="0.2273"/>
    <n v="0.59"/>
    <n v="0"/>
    <x v="8"/>
    <x v="143"/>
    <x v="157"/>
  </r>
  <r>
    <n v="375"/>
    <x v="25"/>
    <n v="1"/>
    <n v="0"/>
    <n v="1"/>
    <x v="20"/>
    <b v="1"/>
    <x v="4"/>
    <x v="1"/>
    <n v="0.18"/>
    <n v="0.16669999999999999"/>
    <n v="0.43"/>
    <n v="0.25369999999999998"/>
    <x v="14"/>
    <x v="140"/>
    <x v="157"/>
  </r>
  <r>
    <n v="486"/>
    <x v="22"/>
    <n v="1"/>
    <n v="0"/>
    <n v="1"/>
    <x v="11"/>
    <b v="0"/>
    <x v="5"/>
    <x v="0"/>
    <n v="0.02"/>
    <n v="1.52E-2"/>
    <n v="0.44"/>
    <n v="0.28360000000000002"/>
    <x v="14"/>
    <x v="140"/>
    <x v="157"/>
  </r>
  <r>
    <n v="576"/>
    <x v="27"/>
    <n v="1"/>
    <n v="0"/>
    <n v="1"/>
    <x v="19"/>
    <b v="0"/>
    <x v="3"/>
    <x v="2"/>
    <n v="0.2"/>
    <n v="0.18179999999999999"/>
    <n v="0.86"/>
    <n v="0.28360000000000002"/>
    <x v="14"/>
    <x v="140"/>
    <x v="157"/>
  </r>
  <r>
    <n v="140"/>
    <x v="6"/>
    <n v="1"/>
    <n v="0"/>
    <n v="1"/>
    <x v="17"/>
    <b v="0"/>
    <x v="2"/>
    <x v="1"/>
    <n v="0.2"/>
    <n v="0.19700000000000001"/>
    <n v="0.69"/>
    <n v="0.22389999999999999"/>
    <x v="0"/>
    <x v="144"/>
    <x v="158"/>
  </r>
  <r>
    <n v="165"/>
    <x v="23"/>
    <n v="1"/>
    <n v="0"/>
    <n v="1"/>
    <x v="21"/>
    <b v="0"/>
    <x v="5"/>
    <x v="2"/>
    <n v="0.18"/>
    <n v="0.19700000000000001"/>
    <n v="0.55000000000000004"/>
    <n v="0.16420000000000001"/>
    <x v="14"/>
    <x v="143"/>
    <x v="158"/>
  </r>
  <r>
    <n v="256"/>
    <x v="15"/>
    <n v="1"/>
    <n v="0"/>
    <n v="1"/>
    <x v="18"/>
    <b v="0"/>
    <x v="3"/>
    <x v="1"/>
    <n v="0.16"/>
    <n v="0.19700000000000001"/>
    <n v="0.86"/>
    <n v="8.9599999999999999E-2"/>
    <x v="14"/>
    <x v="143"/>
    <x v="158"/>
  </r>
  <r>
    <n v="278"/>
    <x v="7"/>
    <n v="1"/>
    <n v="0"/>
    <n v="1"/>
    <x v="18"/>
    <b v="0"/>
    <x v="0"/>
    <x v="0"/>
    <n v="0.14000000000000001"/>
    <n v="0.1212"/>
    <n v="0.59"/>
    <n v="0.28360000000000002"/>
    <x v="8"/>
    <x v="138"/>
    <x v="158"/>
  </r>
  <r>
    <n v="410"/>
    <x v="8"/>
    <n v="1"/>
    <n v="0"/>
    <n v="1"/>
    <x v="17"/>
    <b v="0"/>
    <x v="3"/>
    <x v="2"/>
    <n v="0.22"/>
    <n v="0.2273"/>
    <n v="0.93"/>
    <n v="0.1343"/>
    <x v="8"/>
    <x v="138"/>
    <x v="158"/>
  </r>
  <r>
    <n v="413"/>
    <x v="8"/>
    <n v="1"/>
    <n v="0"/>
    <n v="1"/>
    <x v="22"/>
    <b v="0"/>
    <x v="3"/>
    <x v="1"/>
    <n v="0.22"/>
    <n v="0.2576"/>
    <n v="0.93"/>
    <n v="8.9599999999999999E-2"/>
    <x v="14"/>
    <x v="143"/>
    <x v="158"/>
  </r>
  <r>
    <n v="483"/>
    <x v="22"/>
    <n v="1"/>
    <n v="0"/>
    <n v="1"/>
    <x v="21"/>
    <b v="0"/>
    <x v="5"/>
    <x v="1"/>
    <n v="0.04"/>
    <n v="3.0300000000000001E-2"/>
    <n v="0.41"/>
    <n v="0.28360000000000002"/>
    <x v="8"/>
    <x v="138"/>
    <x v="158"/>
  </r>
  <r>
    <n v="526"/>
    <x v="11"/>
    <n v="1"/>
    <n v="0"/>
    <n v="1"/>
    <x v="18"/>
    <b v="0"/>
    <x v="4"/>
    <x v="0"/>
    <n v="0.06"/>
    <n v="6.0600000000000001E-2"/>
    <n v="0.41"/>
    <n v="0.19400000000000001"/>
    <x v="14"/>
    <x v="143"/>
    <x v="158"/>
  </r>
  <r>
    <n v="28"/>
    <x v="24"/>
    <n v="1"/>
    <n v="0"/>
    <n v="1"/>
    <x v="21"/>
    <b v="0"/>
    <x v="6"/>
    <x v="1"/>
    <n v="0.46"/>
    <n v="0.45450000000000002"/>
    <n v="0.94"/>
    <n v="0.19400000000000001"/>
    <x v="0"/>
    <x v="145"/>
    <x v="159"/>
  </r>
  <r>
    <n v="93"/>
    <x v="9"/>
    <n v="1"/>
    <n v="0"/>
    <n v="1"/>
    <x v="18"/>
    <b v="0"/>
    <x v="3"/>
    <x v="0"/>
    <n v="0.2"/>
    <n v="0.2576"/>
    <n v="0.64"/>
    <n v="0"/>
    <x v="14"/>
    <x v="138"/>
    <x v="159"/>
  </r>
  <r>
    <n v="94"/>
    <x v="9"/>
    <n v="1"/>
    <n v="0"/>
    <n v="1"/>
    <x v="17"/>
    <b v="0"/>
    <x v="3"/>
    <x v="0"/>
    <n v="0.16"/>
    <n v="0.19700000000000001"/>
    <n v="0.74"/>
    <n v="8.9599999999999999E-2"/>
    <x v="14"/>
    <x v="138"/>
    <x v="159"/>
  </r>
  <r>
    <n v="193"/>
    <x v="26"/>
    <n v="1"/>
    <n v="0"/>
    <n v="1"/>
    <x v="11"/>
    <b v="0"/>
    <x v="6"/>
    <x v="0"/>
    <n v="0.08"/>
    <n v="9.0899999999999995E-2"/>
    <n v="0.53"/>
    <n v="0.19400000000000001"/>
    <x v="8"/>
    <x v="144"/>
    <x v="159"/>
  </r>
  <r>
    <n v="209"/>
    <x v="26"/>
    <n v="1"/>
    <n v="0"/>
    <n v="1"/>
    <x v="16"/>
    <b v="0"/>
    <x v="6"/>
    <x v="0"/>
    <n v="0.12"/>
    <n v="0.13639999999999999"/>
    <n v="0.5"/>
    <n v="0.19400000000000001"/>
    <x v="14"/>
    <x v="138"/>
    <x v="159"/>
  </r>
  <r>
    <n v="237"/>
    <x v="3"/>
    <n v="1"/>
    <n v="0"/>
    <n v="1"/>
    <x v="22"/>
    <b v="0"/>
    <x v="1"/>
    <x v="1"/>
    <n v="0.16"/>
    <n v="0.18179999999999999"/>
    <n v="0.55000000000000004"/>
    <n v="0.1343"/>
    <x v="14"/>
    <x v="138"/>
    <x v="159"/>
  </r>
  <r>
    <n v="257"/>
    <x v="15"/>
    <n v="1"/>
    <n v="0"/>
    <n v="1"/>
    <x v="17"/>
    <b v="0"/>
    <x v="3"/>
    <x v="1"/>
    <n v="0.16"/>
    <n v="0.18179999999999999"/>
    <n v="0.86"/>
    <n v="0.1045"/>
    <x v="14"/>
    <x v="138"/>
    <x v="159"/>
  </r>
  <r>
    <n v="437"/>
    <x v="0"/>
    <n v="1"/>
    <n v="0"/>
    <n v="1"/>
    <x v="22"/>
    <b v="0"/>
    <x v="0"/>
    <x v="0"/>
    <n v="0.24"/>
    <n v="0.2273"/>
    <n v="0.6"/>
    <n v="0.22389999999999999"/>
    <x v="14"/>
    <x v="138"/>
    <x v="159"/>
  </r>
  <r>
    <n v="457"/>
    <x v="4"/>
    <n v="1"/>
    <n v="0"/>
    <n v="1"/>
    <x v="17"/>
    <b v="0"/>
    <x v="2"/>
    <x v="1"/>
    <n v="0.24"/>
    <n v="0.2273"/>
    <n v="0.7"/>
    <n v="0.25369999999999998"/>
    <x v="14"/>
    <x v="138"/>
    <x v="159"/>
  </r>
  <r>
    <n v="48"/>
    <x v="13"/>
    <n v="1"/>
    <n v="0"/>
    <n v="1"/>
    <x v="18"/>
    <b v="0"/>
    <x v="4"/>
    <x v="0"/>
    <n v="0.22"/>
    <n v="0.19700000000000001"/>
    <n v="0.44"/>
    <n v="0.35820000000000002"/>
    <x v="14"/>
    <x v="144"/>
    <x v="160"/>
  </r>
  <r>
    <n v="70"/>
    <x v="5"/>
    <n v="1"/>
    <n v="0"/>
    <n v="1"/>
    <x v="18"/>
    <b v="0"/>
    <x v="1"/>
    <x v="0"/>
    <n v="0.16"/>
    <m/>
    <n v="0.55000000000000004"/>
    <n v="0.1045"/>
    <x v="14"/>
    <x v="144"/>
    <x v="160"/>
  </r>
  <r>
    <n v="143"/>
    <x v="6"/>
    <n v="1"/>
    <n v="0"/>
    <n v="1"/>
    <x v="22"/>
    <b v="0"/>
    <x v="2"/>
    <x v="2"/>
    <n v="0.22"/>
    <n v="0.2727"/>
    <n v="0.55000000000000004"/>
    <n v="0"/>
    <x v="14"/>
    <x v="144"/>
    <x v="160"/>
  </r>
  <r>
    <n v="167"/>
    <x v="23"/>
    <n v="1"/>
    <n v="0"/>
    <n v="1"/>
    <x v="22"/>
    <b v="0"/>
    <x v="5"/>
    <x v="1"/>
    <n v="0.16"/>
    <n v="0.16669999999999999"/>
    <n v="0.74"/>
    <n v="0.16420000000000001"/>
    <x v="14"/>
    <x v="144"/>
    <x v="160"/>
  </r>
  <r>
    <n v="210"/>
    <x v="10"/>
    <n v="1"/>
    <n v="0"/>
    <n v="1"/>
    <x v="18"/>
    <b v="0"/>
    <x v="4"/>
    <x v="0"/>
    <n v="0.12"/>
    <n v="0.1212"/>
    <n v="0.5"/>
    <n v="0.28360000000000002"/>
    <x v="0"/>
    <x v="146"/>
    <x v="160"/>
  </r>
  <r>
    <n v="259"/>
    <x v="15"/>
    <n v="1"/>
    <n v="0"/>
    <n v="1"/>
    <x v="22"/>
    <b v="0"/>
    <x v="3"/>
    <x v="0"/>
    <n v="0.14000000000000001"/>
    <n v="0.1515"/>
    <n v="0.86"/>
    <n v="0.16420000000000001"/>
    <x v="14"/>
    <x v="144"/>
    <x v="160"/>
  </r>
  <r>
    <n v="303"/>
    <x v="12"/>
    <n v="1"/>
    <n v="0"/>
    <n v="1"/>
    <x v="17"/>
    <b v="0"/>
    <x v="2"/>
    <x v="0"/>
    <n v="0.1"/>
    <n v="0.1212"/>
    <n v="0.54"/>
    <n v="0.16420000000000001"/>
    <x v="14"/>
    <x v="144"/>
    <x v="160"/>
  </r>
  <r>
    <n v="329"/>
    <x v="17"/>
    <n v="1"/>
    <n v="0"/>
    <n v="1"/>
    <x v="23"/>
    <b v="0"/>
    <x v="5"/>
    <x v="1"/>
    <n v="0.16"/>
    <n v="0.2273"/>
    <n v="0.59"/>
    <n v="0"/>
    <x v="14"/>
    <x v="144"/>
    <x v="160"/>
  </r>
  <r>
    <n v="379"/>
    <x v="25"/>
    <n v="1"/>
    <n v="0"/>
    <n v="1"/>
    <x v="19"/>
    <b v="1"/>
    <x v="4"/>
    <x v="1"/>
    <n v="0.18"/>
    <n v="0.18179999999999999"/>
    <n v="0.43"/>
    <n v="0.19400000000000001"/>
    <x v="14"/>
    <x v="144"/>
    <x v="160"/>
  </r>
  <r>
    <n v="433"/>
    <x v="0"/>
    <n v="1"/>
    <n v="0"/>
    <n v="1"/>
    <x v="17"/>
    <b v="0"/>
    <x v="0"/>
    <x v="0"/>
    <n v="0.26"/>
    <n v="0.2727"/>
    <n v="0.56000000000000005"/>
    <n v="0"/>
    <x v="0"/>
    <x v="146"/>
    <x v="160"/>
  </r>
  <r>
    <n v="461"/>
    <x v="4"/>
    <n v="1"/>
    <n v="0"/>
    <n v="1"/>
    <x v="22"/>
    <b v="0"/>
    <x v="2"/>
    <x v="0"/>
    <n v="0.24"/>
    <n v="0.19700000000000001"/>
    <n v="0.6"/>
    <n v="0.41789999999999999"/>
    <x v="8"/>
    <x v="145"/>
    <x v="160"/>
  </r>
  <r>
    <n v="506"/>
    <x v="19"/>
    <n v="1"/>
    <n v="0"/>
    <n v="1"/>
    <x v="21"/>
    <b v="0"/>
    <x v="6"/>
    <x v="0"/>
    <n v="0.02"/>
    <n v="6.0600000000000001E-2"/>
    <n v="0.62"/>
    <n v="0.1343"/>
    <x v="8"/>
    <x v="145"/>
    <x v="160"/>
  </r>
  <r>
    <n v="530"/>
    <x v="11"/>
    <n v="1"/>
    <n v="0"/>
    <n v="1"/>
    <x v="22"/>
    <b v="0"/>
    <x v="4"/>
    <x v="0"/>
    <n v="0.02"/>
    <n v="6.0600000000000001E-2"/>
    <n v="0.48"/>
    <n v="0.1343"/>
    <x v="14"/>
    <x v="144"/>
    <x v="160"/>
  </r>
  <r>
    <n v="550"/>
    <x v="1"/>
    <n v="1"/>
    <n v="0"/>
    <n v="1"/>
    <x v="17"/>
    <b v="0"/>
    <x v="1"/>
    <x v="1"/>
    <n v="0.16"/>
    <n v="0.16669999999999999"/>
    <n v="0.69"/>
    <n v="0.16420000000000001"/>
    <x v="14"/>
    <x v="144"/>
    <x v="160"/>
  </r>
  <r>
    <n v="573"/>
    <x v="27"/>
    <n v="1"/>
    <n v="0"/>
    <n v="1"/>
    <x v="17"/>
    <b v="0"/>
    <x v="3"/>
    <x v="1"/>
    <n v="0.24"/>
    <n v="0.2424"/>
    <n v="0.65"/>
    <n v="0.1343"/>
    <x v="14"/>
    <x v="144"/>
    <x v="160"/>
  </r>
  <r>
    <n v="74"/>
    <x v="5"/>
    <n v="1"/>
    <n v="0"/>
    <n v="1"/>
    <x v="22"/>
    <b v="0"/>
    <x v="1"/>
    <x v="0"/>
    <n v="0.12"/>
    <n v="0.1515"/>
    <n v="0.68"/>
    <n v="0.1045"/>
    <x v="14"/>
    <x v="145"/>
    <x v="161"/>
  </r>
  <r>
    <n v="117"/>
    <x v="2"/>
    <n v="1"/>
    <n v="0"/>
    <n v="1"/>
    <x v="17"/>
    <b v="0"/>
    <x v="0"/>
    <x v="0"/>
    <n v="0.16"/>
    <n v="0.2273"/>
    <n v="0.64"/>
    <n v="0"/>
    <x v="14"/>
    <x v="145"/>
    <x v="161"/>
  </r>
  <r>
    <n v="120"/>
    <x v="2"/>
    <n v="1"/>
    <n v="0"/>
    <n v="1"/>
    <x v="22"/>
    <b v="0"/>
    <x v="0"/>
    <x v="1"/>
    <n v="0.14000000000000001"/>
    <n v="0.18179999999999999"/>
    <n v="0.69"/>
    <n v="8.9599999999999999E-2"/>
    <x v="14"/>
    <x v="145"/>
    <x v="161"/>
  </r>
  <r>
    <n v="189"/>
    <x v="26"/>
    <n v="1"/>
    <n v="0"/>
    <n v="1"/>
    <x v="21"/>
    <b v="0"/>
    <x v="6"/>
    <x v="0"/>
    <n v="0.1"/>
    <n v="7.5800000000000006E-2"/>
    <n v="0.46"/>
    <n v="0.41789999999999999"/>
    <x v="14"/>
    <x v="145"/>
    <x v="161"/>
  </r>
  <r>
    <n v="282"/>
    <x v="7"/>
    <n v="1"/>
    <n v="0"/>
    <n v="1"/>
    <x v="23"/>
    <b v="0"/>
    <x v="0"/>
    <x v="0"/>
    <n v="0.14000000000000001"/>
    <n v="0.1212"/>
    <n v="0.5"/>
    <n v="0.25369999999999998"/>
    <x v="14"/>
    <x v="145"/>
    <x v="161"/>
  </r>
  <r>
    <n v="396"/>
    <x v="25"/>
    <n v="1"/>
    <n v="0"/>
    <n v="1"/>
    <x v="16"/>
    <b v="1"/>
    <x v="4"/>
    <x v="2"/>
    <n v="0.16"/>
    <n v="0.13639999999999999"/>
    <n v="0.86"/>
    <n v="0.28360000000000002"/>
    <x v="8"/>
    <x v="146"/>
    <x v="161"/>
  </r>
  <r>
    <n v="600"/>
    <x v="14"/>
    <n v="1"/>
    <n v="0"/>
    <n v="1"/>
    <x v="22"/>
    <b v="0"/>
    <x v="2"/>
    <x v="1"/>
    <n v="0.18"/>
    <n v="0.21210000000000001"/>
    <n v="0.8"/>
    <n v="0.1045"/>
    <x v="14"/>
    <x v="145"/>
    <x v="161"/>
  </r>
  <r>
    <n v="8"/>
    <x v="20"/>
    <n v="1"/>
    <n v="0"/>
    <n v="1"/>
    <x v="11"/>
    <b v="0"/>
    <x v="5"/>
    <x v="0"/>
    <n v="0.2"/>
    <n v="0.2576"/>
    <n v="0.86"/>
    <n v="0"/>
    <x v="8"/>
    <x v="147"/>
    <x v="162"/>
  </r>
  <r>
    <n v="29"/>
    <x v="24"/>
    <n v="1"/>
    <n v="0"/>
    <n v="1"/>
    <x v="23"/>
    <b v="0"/>
    <x v="6"/>
    <x v="1"/>
    <n v="0.46"/>
    <m/>
    <n v="0.94"/>
    <n v="0.19400000000000001"/>
    <x v="0"/>
    <x v="148"/>
    <x v="162"/>
  </r>
  <r>
    <n v="51"/>
    <x v="13"/>
    <n v="1"/>
    <n v="0"/>
    <n v="1"/>
    <x v="22"/>
    <b v="0"/>
    <x v="4"/>
    <x v="0"/>
    <n v="0.16"/>
    <n v="0.13639999999999999"/>
    <n v="0.47"/>
    <n v="0.28360000000000002"/>
    <x v="14"/>
    <x v="146"/>
    <x v="162"/>
  </r>
  <r>
    <n v="97"/>
    <x v="9"/>
    <n v="1"/>
    <n v="0"/>
    <n v="1"/>
    <x v="22"/>
    <b v="0"/>
    <x v="3"/>
    <x v="0"/>
    <n v="0.22"/>
    <n v="0.2273"/>
    <n v="0.47"/>
    <n v="0.16420000000000001"/>
    <x v="14"/>
    <x v="146"/>
    <x v="162"/>
  </r>
  <r>
    <n v="212"/>
    <x v="10"/>
    <n v="1"/>
    <n v="0"/>
    <n v="1"/>
    <x v="20"/>
    <b v="0"/>
    <x v="4"/>
    <x v="0"/>
    <n v="0.12"/>
    <n v="0.1212"/>
    <n v="0.5"/>
    <n v="0.22389999999999999"/>
    <x v="14"/>
    <x v="146"/>
    <x v="162"/>
  </r>
  <r>
    <n v="214"/>
    <x v="10"/>
    <n v="1"/>
    <n v="0"/>
    <n v="1"/>
    <x v="23"/>
    <b v="0"/>
    <x v="4"/>
    <x v="0"/>
    <n v="0.1"/>
    <n v="0.1212"/>
    <n v="0.54"/>
    <n v="0.1343"/>
    <x v="8"/>
    <x v="147"/>
    <x v="162"/>
  </r>
  <r>
    <n v="215"/>
    <x v="10"/>
    <n v="1"/>
    <n v="0"/>
    <n v="1"/>
    <x v="22"/>
    <b v="0"/>
    <x v="4"/>
    <x v="0"/>
    <n v="0.1"/>
    <n v="0.1061"/>
    <n v="0.54"/>
    <n v="0.25369999999999998"/>
    <x v="14"/>
    <x v="146"/>
    <x v="162"/>
  </r>
  <r>
    <n v="235"/>
    <x v="3"/>
    <n v="1"/>
    <n v="0"/>
    <n v="1"/>
    <x v="17"/>
    <b v="0"/>
    <x v="1"/>
    <x v="0"/>
    <n v="0.14000000000000001"/>
    <n v="0.1515"/>
    <n v="0.59"/>
    <n v="0.16420000000000001"/>
    <x v="14"/>
    <x v="146"/>
    <x v="162"/>
  </r>
  <r>
    <n v="236"/>
    <x v="3"/>
    <n v="1"/>
    <n v="0"/>
    <n v="1"/>
    <x v="20"/>
    <b v="0"/>
    <x v="1"/>
    <x v="1"/>
    <n v="0.16"/>
    <n v="0.1515"/>
    <n v="0.55000000000000004"/>
    <n v="0.19400000000000001"/>
    <x v="14"/>
    <x v="146"/>
    <x v="162"/>
  </r>
  <r>
    <n v="281"/>
    <x v="7"/>
    <n v="1"/>
    <n v="0"/>
    <n v="1"/>
    <x v="21"/>
    <b v="0"/>
    <x v="0"/>
    <x v="0"/>
    <n v="0.14000000000000001"/>
    <n v="0.1212"/>
    <n v="0.5"/>
    <n v="0.32840000000000003"/>
    <x v="14"/>
    <x v="146"/>
    <x v="162"/>
  </r>
  <r>
    <n v="283"/>
    <x v="7"/>
    <n v="1"/>
    <n v="0"/>
    <n v="1"/>
    <x v="22"/>
    <b v="0"/>
    <x v="0"/>
    <x v="0"/>
    <n v="0.14000000000000001"/>
    <n v="0.1212"/>
    <n v="0.5"/>
    <n v="0.29849999999999999"/>
    <x v="14"/>
    <x v="146"/>
    <x v="162"/>
  </r>
  <r>
    <n v="331"/>
    <x v="17"/>
    <n v="1"/>
    <n v="0"/>
    <n v="1"/>
    <x v="19"/>
    <b v="0"/>
    <x v="5"/>
    <x v="0"/>
    <n v="0.14000000000000001"/>
    <n v="0.16669999999999999"/>
    <n v="0.63"/>
    <n v="0.1045"/>
    <x v="8"/>
    <x v="147"/>
    <x v="162"/>
  </r>
  <r>
    <n v="356"/>
    <x v="18"/>
    <n v="1"/>
    <n v="0"/>
    <n v="1"/>
    <x v="11"/>
    <b v="0"/>
    <x v="6"/>
    <x v="1"/>
    <n v="0.24"/>
    <n v="0.21210000000000001"/>
    <n v="0.56000000000000005"/>
    <n v="0.29849999999999999"/>
    <x v="14"/>
    <x v="146"/>
    <x v="162"/>
  </r>
  <r>
    <n v="377"/>
    <x v="25"/>
    <n v="1"/>
    <n v="0"/>
    <n v="1"/>
    <x v="23"/>
    <b v="1"/>
    <x v="4"/>
    <x v="1"/>
    <n v="0.18"/>
    <n v="0.19700000000000001"/>
    <n v="0.43"/>
    <n v="0.1343"/>
    <x v="8"/>
    <x v="147"/>
    <x v="162"/>
  </r>
  <r>
    <n v="397"/>
    <x v="16"/>
    <n v="1"/>
    <n v="0"/>
    <n v="1"/>
    <x v="10"/>
    <b v="0"/>
    <x v="1"/>
    <x v="1"/>
    <n v="0.2"/>
    <n v="0.18179999999999999"/>
    <n v="0.86"/>
    <n v="0.32840000000000003"/>
    <x v="14"/>
    <x v="146"/>
    <x v="162"/>
  </r>
  <r>
    <n v="409"/>
    <x v="8"/>
    <n v="1"/>
    <n v="0"/>
    <n v="1"/>
    <x v="18"/>
    <b v="0"/>
    <x v="3"/>
    <x v="1"/>
    <n v="0.22"/>
    <n v="0.2727"/>
    <n v="0.93"/>
    <n v="0"/>
    <x v="14"/>
    <x v="146"/>
    <x v="162"/>
  </r>
  <r>
    <n v="411"/>
    <x v="8"/>
    <n v="1"/>
    <n v="0"/>
    <n v="1"/>
    <x v="20"/>
    <b v="0"/>
    <x v="3"/>
    <x v="2"/>
    <n v="0.22"/>
    <n v="0.2273"/>
    <n v="0.93"/>
    <n v="0.1343"/>
    <x v="14"/>
    <x v="146"/>
    <x v="162"/>
  </r>
  <r>
    <n v="484"/>
    <x v="22"/>
    <n v="1"/>
    <n v="0"/>
    <n v="1"/>
    <x v="23"/>
    <b v="0"/>
    <x v="5"/>
    <x v="1"/>
    <n v="0.02"/>
    <n v="1.52E-2"/>
    <n v="0.48"/>
    <n v="0.29849999999999999"/>
    <x v="14"/>
    <x v="146"/>
    <x v="162"/>
  </r>
  <r>
    <n v="507"/>
    <x v="19"/>
    <n v="1"/>
    <n v="0"/>
    <n v="1"/>
    <x v="22"/>
    <b v="0"/>
    <x v="6"/>
    <x v="1"/>
    <n v="0.04"/>
    <n v="7.5800000000000006E-2"/>
    <n v="0.56999999999999995"/>
    <n v="0.1045"/>
    <x v="14"/>
    <x v="146"/>
    <x v="162"/>
  </r>
  <r>
    <n v="597"/>
    <x v="14"/>
    <n v="1"/>
    <n v="0"/>
    <n v="1"/>
    <x v="17"/>
    <b v="0"/>
    <x v="2"/>
    <x v="1"/>
    <n v="0.2"/>
    <n v="0.21210000000000001"/>
    <n v="0.75"/>
    <n v="0.1343"/>
    <x v="8"/>
    <x v="147"/>
    <x v="162"/>
  </r>
  <r>
    <n v="7"/>
    <x v="20"/>
    <n v="1"/>
    <n v="0"/>
    <n v="1"/>
    <x v="19"/>
    <b v="0"/>
    <x v="5"/>
    <x v="0"/>
    <n v="0.22"/>
    <n v="0.2727"/>
    <n v="0.8"/>
    <n v="0"/>
    <x v="0"/>
    <x v="149"/>
    <x v="163"/>
  </r>
  <r>
    <n v="30"/>
    <x v="24"/>
    <n v="1"/>
    <n v="0"/>
    <n v="1"/>
    <x v="19"/>
    <b v="0"/>
    <x v="6"/>
    <x v="2"/>
    <n v="0.42"/>
    <n v="0.42420000000000002"/>
    <n v="0.77"/>
    <n v="0.29849999999999999"/>
    <x v="14"/>
    <x v="147"/>
    <x v="163"/>
  </r>
  <r>
    <n v="49"/>
    <x v="13"/>
    <n v="1"/>
    <n v="0"/>
    <n v="1"/>
    <x v="17"/>
    <b v="0"/>
    <x v="4"/>
    <x v="0"/>
    <n v="0.2"/>
    <m/>
    <n v="0.44"/>
    <n v="0.41789999999999999"/>
    <x v="14"/>
    <x v="147"/>
    <x v="163"/>
  </r>
  <r>
    <n v="71"/>
    <x v="5"/>
    <n v="1"/>
    <n v="0"/>
    <n v="1"/>
    <x v="17"/>
    <b v="0"/>
    <x v="1"/>
    <x v="0"/>
    <n v="0.16"/>
    <n v="0.18179999999999999"/>
    <n v="0.59"/>
    <n v="0.1045"/>
    <x v="14"/>
    <x v="147"/>
    <x v="163"/>
  </r>
  <r>
    <n v="73"/>
    <x v="5"/>
    <n v="1"/>
    <n v="0"/>
    <n v="1"/>
    <x v="23"/>
    <b v="0"/>
    <x v="1"/>
    <x v="0"/>
    <n v="0.14000000000000001"/>
    <n v="0.18179999999999999"/>
    <n v="0.63"/>
    <n v="8.9599999999999999E-2"/>
    <x v="14"/>
    <x v="147"/>
    <x v="163"/>
  </r>
  <r>
    <n v="95"/>
    <x v="9"/>
    <n v="1"/>
    <n v="0"/>
    <n v="1"/>
    <x v="20"/>
    <b v="0"/>
    <x v="3"/>
    <x v="0"/>
    <n v="0.16"/>
    <n v="0.19700000000000001"/>
    <n v="0.74"/>
    <n v="8.9599999999999999E-2"/>
    <x v="14"/>
    <x v="147"/>
    <x v="163"/>
  </r>
  <r>
    <n v="96"/>
    <x v="9"/>
    <n v="1"/>
    <n v="0"/>
    <n v="1"/>
    <x v="23"/>
    <b v="0"/>
    <x v="3"/>
    <x v="0"/>
    <n v="0.24"/>
    <n v="0.2273"/>
    <n v="0.48"/>
    <n v="0.22389999999999999"/>
    <x v="14"/>
    <x v="147"/>
    <x v="163"/>
  </r>
  <r>
    <n v="118"/>
    <x v="2"/>
    <n v="1"/>
    <n v="0"/>
    <n v="1"/>
    <x v="20"/>
    <b v="0"/>
    <x v="0"/>
    <x v="0"/>
    <n v="0.16"/>
    <n v="0.2273"/>
    <n v="0.64"/>
    <n v="0"/>
    <x v="14"/>
    <x v="147"/>
    <x v="163"/>
  </r>
  <r>
    <n v="168"/>
    <x v="23"/>
    <n v="1"/>
    <n v="0"/>
    <n v="1"/>
    <x v="19"/>
    <b v="0"/>
    <x v="5"/>
    <x v="1"/>
    <n v="0.16"/>
    <n v="0.16669999999999999"/>
    <n v="0.74"/>
    <n v="0.16420000000000001"/>
    <x v="14"/>
    <x v="147"/>
    <x v="163"/>
  </r>
  <r>
    <n v="279"/>
    <x v="7"/>
    <n v="1"/>
    <n v="0"/>
    <n v="1"/>
    <x v="17"/>
    <b v="0"/>
    <x v="0"/>
    <x v="0"/>
    <n v="0.14000000000000001"/>
    <n v="0.1212"/>
    <n v="0.5"/>
    <n v="0.28360000000000002"/>
    <x v="14"/>
    <x v="147"/>
    <x v="163"/>
  </r>
  <r>
    <n v="280"/>
    <x v="7"/>
    <n v="1"/>
    <n v="0"/>
    <n v="1"/>
    <x v="20"/>
    <b v="0"/>
    <x v="0"/>
    <x v="0"/>
    <n v="0.14000000000000001"/>
    <n v="0.1212"/>
    <n v="0.5"/>
    <n v="0.35820000000000002"/>
    <x v="14"/>
    <x v="147"/>
    <x v="163"/>
  </r>
  <r>
    <n v="354"/>
    <x v="18"/>
    <n v="1"/>
    <n v="0"/>
    <n v="1"/>
    <x v="22"/>
    <b v="0"/>
    <x v="6"/>
    <x v="1"/>
    <n v="0.26"/>
    <n v="0.2576"/>
    <n v="0.56000000000000005"/>
    <n v="0.16420000000000001"/>
    <x v="8"/>
    <x v="148"/>
    <x v="163"/>
  </r>
  <r>
    <n v="376"/>
    <x v="25"/>
    <n v="1"/>
    <n v="0"/>
    <n v="1"/>
    <x v="21"/>
    <b v="1"/>
    <x v="4"/>
    <x v="1"/>
    <n v="0.18"/>
    <n v="0.18179999999999999"/>
    <n v="0.43"/>
    <n v="0.19400000000000001"/>
    <x v="14"/>
    <x v="147"/>
    <x v="163"/>
  </r>
  <r>
    <n v="412"/>
    <x v="8"/>
    <n v="1"/>
    <n v="0"/>
    <n v="1"/>
    <x v="23"/>
    <b v="0"/>
    <x v="3"/>
    <x v="2"/>
    <n v="0.22"/>
    <n v="0.2273"/>
    <n v="0.93"/>
    <n v="0.1343"/>
    <x v="8"/>
    <x v="148"/>
    <x v="163"/>
  </r>
  <r>
    <n v="434"/>
    <x v="0"/>
    <n v="1"/>
    <n v="0"/>
    <n v="1"/>
    <x v="20"/>
    <b v="0"/>
    <x v="0"/>
    <x v="0"/>
    <n v="0.26"/>
    <n v="0.2727"/>
    <n v="0.56000000000000005"/>
    <n v="0"/>
    <x v="14"/>
    <x v="147"/>
    <x v="163"/>
  </r>
  <r>
    <n v="458"/>
    <x v="4"/>
    <n v="1"/>
    <n v="0"/>
    <n v="1"/>
    <x v="20"/>
    <b v="0"/>
    <x v="2"/>
    <x v="2"/>
    <n v="0.24"/>
    <n v="0.2424"/>
    <n v="0.75"/>
    <n v="0.16420000000000001"/>
    <x v="14"/>
    <x v="147"/>
    <x v="163"/>
  </r>
  <r>
    <n v="485"/>
    <x v="22"/>
    <n v="1"/>
    <n v="0"/>
    <n v="1"/>
    <x v="19"/>
    <b v="0"/>
    <x v="5"/>
    <x v="1"/>
    <n v="0.02"/>
    <n v="3.0300000000000001E-2"/>
    <n v="0.44"/>
    <n v="0.22389999999999999"/>
    <x v="14"/>
    <x v="147"/>
    <x v="163"/>
  </r>
  <r>
    <n v="509"/>
    <x v="19"/>
    <n v="1"/>
    <n v="0"/>
    <n v="1"/>
    <x v="11"/>
    <b v="0"/>
    <x v="6"/>
    <x v="0"/>
    <n v="0.08"/>
    <n v="0.1061"/>
    <n v="0.57999999999999996"/>
    <n v="0.16420000000000001"/>
    <x v="8"/>
    <x v="148"/>
    <x v="163"/>
  </r>
  <r>
    <n v="551"/>
    <x v="1"/>
    <n v="1"/>
    <n v="0"/>
    <n v="1"/>
    <x v="20"/>
    <b v="0"/>
    <x v="1"/>
    <x v="0"/>
    <n v="0.16"/>
    <n v="0.1515"/>
    <n v="0.69"/>
    <n v="0.22389999999999999"/>
    <x v="14"/>
    <x v="147"/>
    <x v="163"/>
  </r>
  <r>
    <n v="598"/>
    <x v="14"/>
    <n v="1"/>
    <n v="0"/>
    <n v="1"/>
    <x v="20"/>
    <b v="0"/>
    <x v="2"/>
    <x v="1"/>
    <n v="0.2"/>
    <n v="0.21210000000000001"/>
    <n v="0.75"/>
    <n v="0.16420000000000001"/>
    <x v="14"/>
    <x v="147"/>
    <x v="163"/>
  </r>
  <r>
    <n v="5"/>
    <x v="20"/>
    <n v="1"/>
    <n v="0"/>
    <n v="1"/>
    <x v="23"/>
    <b v="0"/>
    <x v="5"/>
    <x v="0"/>
    <n v="0.24"/>
    <n v="0.28789999999999999"/>
    <n v="0.75"/>
    <n v="0"/>
    <x v="14"/>
    <x v="148"/>
    <x v="164"/>
  </r>
  <r>
    <n v="6"/>
    <x v="20"/>
    <n v="1"/>
    <n v="0"/>
    <n v="1"/>
    <x v="22"/>
    <b v="0"/>
    <x v="5"/>
    <x v="1"/>
    <n v="0.24"/>
    <n v="0.2576"/>
    <n v="0.75"/>
    <n v="8.9599999999999999E-2"/>
    <x v="14"/>
    <x v="148"/>
    <x v="164"/>
  </r>
  <r>
    <n v="31"/>
    <x v="24"/>
    <n v="1"/>
    <n v="0"/>
    <n v="1"/>
    <x v="11"/>
    <b v="0"/>
    <x v="6"/>
    <x v="1"/>
    <n v="0.4"/>
    <n v="0.40910000000000002"/>
    <n v="0.76"/>
    <n v="0.19400000000000001"/>
    <x v="14"/>
    <x v="148"/>
    <x v="164"/>
  </r>
  <r>
    <n v="50"/>
    <x v="13"/>
    <n v="1"/>
    <n v="0"/>
    <n v="1"/>
    <x v="23"/>
    <b v="0"/>
    <x v="4"/>
    <x v="0"/>
    <n v="0.16"/>
    <n v="0.13639999999999999"/>
    <n v="0.47"/>
    <n v="0.3881"/>
    <x v="14"/>
    <x v="148"/>
    <x v="164"/>
  </r>
  <r>
    <n v="72"/>
    <x v="5"/>
    <n v="1"/>
    <n v="0"/>
    <n v="1"/>
    <x v="20"/>
    <b v="0"/>
    <x v="1"/>
    <x v="0"/>
    <n v="0.14000000000000001"/>
    <n v="0.1515"/>
    <n v="0.63"/>
    <n v="0.1343"/>
    <x v="14"/>
    <x v="148"/>
    <x v="164"/>
  </r>
  <r>
    <n v="119"/>
    <x v="2"/>
    <n v="1"/>
    <n v="0"/>
    <n v="1"/>
    <x v="23"/>
    <b v="0"/>
    <x v="0"/>
    <x v="1"/>
    <n v="0.16"/>
    <n v="0.19700000000000001"/>
    <n v="0.64"/>
    <n v="8.9599999999999999E-2"/>
    <x v="14"/>
    <x v="148"/>
    <x v="164"/>
  </r>
  <r>
    <n v="141"/>
    <x v="6"/>
    <n v="1"/>
    <n v="0"/>
    <n v="1"/>
    <x v="20"/>
    <b v="0"/>
    <x v="2"/>
    <x v="1"/>
    <n v="0.2"/>
    <n v="0.19700000000000001"/>
    <n v="0.69"/>
    <n v="0.22389999999999999"/>
    <x v="14"/>
    <x v="148"/>
    <x v="164"/>
  </r>
  <r>
    <n v="142"/>
    <x v="6"/>
    <n v="1"/>
    <n v="0"/>
    <n v="1"/>
    <x v="23"/>
    <b v="0"/>
    <x v="2"/>
    <x v="1"/>
    <n v="0.2"/>
    <n v="0.21210000000000001"/>
    <n v="0.69"/>
    <n v="0.1343"/>
    <x v="14"/>
    <x v="148"/>
    <x v="164"/>
  </r>
  <r>
    <n v="166"/>
    <x v="23"/>
    <n v="1"/>
    <n v="0"/>
    <n v="1"/>
    <x v="23"/>
    <b v="0"/>
    <x v="5"/>
    <x v="2"/>
    <n v="0.18"/>
    <n v="0.19700000000000001"/>
    <n v="0.55000000000000004"/>
    <n v="0.16420000000000001"/>
    <x v="14"/>
    <x v="148"/>
    <x v="164"/>
  </r>
  <r>
    <n v="190"/>
    <x v="26"/>
    <n v="1"/>
    <n v="0"/>
    <n v="1"/>
    <x v="23"/>
    <b v="0"/>
    <x v="6"/>
    <x v="0"/>
    <n v="0.08"/>
    <n v="9.0899999999999995E-2"/>
    <n v="0.53"/>
    <n v="0.19400000000000001"/>
    <x v="14"/>
    <x v="148"/>
    <x v="164"/>
  </r>
  <r>
    <n v="192"/>
    <x v="26"/>
    <n v="1"/>
    <n v="0"/>
    <n v="1"/>
    <x v="19"/>
    <b v="0"/>
    <x v="6"/>
    <x v="0"/>
    <n v="0.1"/>
    <n v="9.0899999999999995E-2"/>
    <n v="0.49"/>
    <n v="0.28360000000000002"/>
    <x v="14"/>
    <x v="148"/>
    <x v="164"/>
  </r>
  <r>
    <n v="211"/>
    <x v="10"/>
    <n v="1"/>
    <n v="0"/>
    <n v="1"/>
    <x v="17"/>
    <b v="0"/>
    <x v="4"/>
    <x v="0"/>
    <n v="0.12"/>
    <n v="0.1212"/>
    <n v="0.5"/>
    <n v="0.28360000000000002"/>
    <x v="8"/>
    <x v="149"/>
    <x v="164"/>
  </r>
  <r>
    <n v="213"/>
    <x v="10"/>
    <n v="1"/>
    <n v="0"/>
    <n v="1"/>
    <x v="21"/>
    <b v="0"/>
    <x v="4"/>
    <x v="0"/>
    <n v="0.12"/>
    <n v="0.1212"/>
    <n v="0.5"/>
    <n v="0.22389999999999999"/>
    <x v="14"/>
    <x v="148"/>
    <x v="164"/>
  </r>
  <r>
    <n v="258"/>
    <x v="15"/>
    <n v="1"/>
    <n v="0"/>
    <n v="1"/>
    <x v="20"/>
    <b v="0"/>
    <x v="3"/>
    <x v="0"/>
    <n v="0.14000000000000001"/>
    <n v="0.1515"/>
    <n v="0.86"/>
    <n v="0.1343"/>
    <x v="14"/>
    <x v="148"/>
    <x v="164"/>
  </r>
  <r>
    <n v="304"/>
    <x v="12"/>
    <n v="1"/>
    <n v="0"/>
    <n v="1"/>
    <x v="20"/>
    <b v="0"/>
    <x v="2"/>
    <x v="0"/>
    <n v="0.1"/>
    <n v="0.1212"/>
    <n v="0.54"/>
    <n v="0.1343"/>
    <x v="14"/>
    <x v="148"/>
    <x v="164"/>
  </r>
  <r>
    <n v="305"/>
    <x v="12"/>
    <n v="1"/>
    <n v="0"/>
    <n v="1"/>
    <x v="21"/>
    <b v="0"/>
    <x v="2"/>
    <x v="0"/>
    <n v="0.1"/>
    <n v="0.13639999999999999"/>
    <n v="0.54"/>
    <n v="0.1045"/>
    <x v="14"/>
    <x v="148"/>
    <x v="164"/>
  </r>
  <r>
    <n v="330"/>
    <x v="17"/>
    <n v="1"/>
    <n v="0"/>
    <n v="1"/>
    <x v="22"/>
    <b v="0"/>
    <x v="5"/>
    <x v="0"/>
    <n v="0.16"/>
    <n v="0.2273"/>
    <n v="0.59"/>
    <n v="0"/>
    <x v="14"/>
    <x v="148"/>
    <x v="164"/>
  </r>
  <r>
    <n v="353"/>
    <x v="18"/>
    <n v="1"/>
    <n v="0"/>
    <n v="1"/>
    <x v="23"/>
    <b v="0"/>
    <x v="6"/>
    <x v="0"/>
    <n v="0.26"/>
    <n v="0.2576"/>
    <n v="0.56000000000000005"/>
    <n v="0.16420000000000001"/>
    <x v="14"/>
    <x v="148"/>
    <x v="164"/>
  </r>
  <r>
    <n v="378"/>
    <x v="25"/>
    <n v="1"/>
    <n v="0"/>
    <n v="1"/>
    <x v="22"/>
    <b v="1"/>
    <x v="4"/>
    <x v="1"/>
    <n v="0.18"/>
    <n v="0.19700000000000001"/>
    <n v="0.43"/>
    <n v="0.16420000000000001"/>
    <x v="14"/>
    <x v="148"/>
    <x v="164"/>
  </r>
  <r>
    <n v="459"/>
    <x v="4"/>
    <n v="1"/>
    <n v="0"/>
    <n v="1"/>
    <x v="21"/>
    <b v="0"/>
    <x v="2"/>
    <x v="2"/>
    <n v="0.22"/>
    <n v="0.21210000000000001"/>
    <n v="0.8"/>
    <n v="0.29849999999999999"/>
    <x v="14"/>
    <x v="148"/>
    <x v="164"/>
  </r>
  <r>
    <n v="460"/>
    <x v="4"/>
    <n v="1"/>
    <n v="0"/>
    <n v="1"/>
    <x v="23"/>
    <b v="0"/>
    <x v="2"/>
    <x v="1"/>
    <n v="0.22"/>
    <n v="0.2576"/>
    <n v="0.87"/>
    <n v="8.9599999999999999E-2"/>
    <x v="14"/>
    <x v="148"/>
    <x v="164"/>
  </r>
  <r>
    <n v="508"/>
    <x v="19"/>
    <n v="1"/>
    <n v="0"/>
    <n v="1"/>
    <x v="19"/>
    <b v="0"/>
    <x v="6"/>
    <x v="1"/>
    <n v="0.04"/>
    <n v="7.5800000000000006E-2"/>
    <n v="0.56999999999999995"/>
    <n v="0.1045"/>
    <x v="14"/>
    <x v="148"/>
    <x v="164"/>
  </r>
  <r>
    <n v="527"/>
    <x v="11"/>
    <n v="1"/>
    <n v="0"/>
    <n v="1"/>
    <x v="17"/>
    <b v="0"/>
    <x v="4"/>
    <x v="0"/>
    <n v="0.04"/>
    <n v="4.5499999999999999E-2"/>
    <n v="0.45"/>
    <n v="0.19400000000000001"/>
    <x v="14"/>
    <x v="148"/>
    <x v="164"/>
  </r>
  <r>
    <n v="528"/>
    <x v="11"/>
    <n v="1"/>
    <n v="0"/>
    <n v="1"/>
    <x v="21"/>
    <b v="0"/>
    <x v="4"/>
    <x v="0"/>
    <n v="0.04"/>
    <n v="3.0300000000000001E-2"/>
    <n v="0.45"/>
    <n v="0.25369999999999998"/>
    <x v="14"/>
    <x v="148"/>
    <x v="164"/>
  </r>
  <r>
    <n v="529"/>
    <x v="11"/>
    <n v="1"/>
    <n v="0"/>
    <n v="1"/>
    <x v="23"/>
    <b v="0"/>
    <x v="4"/>
    <x v="0"/>
    <n v="0.02"/>
    <n v="6.0600000000000001E-2"/>
    <n v="0.48"/>
    <n v="0.1343"/>
    <x v="14"/>
    <x v="148"/>
    <x v="164"/>
  </r>
  <r>
    <n v="552"/>
    <x v="1"/>
    <n v="1"/>
    <n v="0"/>
    <n v="1"/>
    <x v="23"/>
    <b v="0"/>
    <x v="1"/>
    <x v="0"/>
    <n v="0.14000000000000001"/>
    <n v="0.16669999999999999"/>
    <n v="0.74"/>
    <n v="0.1045"/>
    <x v="14"/>
    <x v="148"/>
    <x v="164"/>
  </r>
  <r>
    <n v="575"/>
    <x v="27"/>
    <n v="1"/>
    <n v="0"/>
    <n v="1"/>
    <x v="22"/>
    <b v="0"/>
    <x v="3"/>
    <x v="2"/>
    <n v="0.2"/>
    <n v="0.18179999999999999"/>
    <n v="0.86"/>
    <n v="0.28360000000000002"/>
    <x v="14"/>
    <x v="148"/>
    <x v="164"/>
  </r>
  <r>
    <n v="599"/>
    <x v="14"/>
    <n v="1"/>
    <n v="0"/>
    <n v="1"/>
    <x v="21"/>
    <b v="0"/>
    <x v="2"/>
    <x v="1"/>
    <n v="0.2"/>
    <n v="0.2273"/>
    <n v="0.75"/>
    <n v="0.1045"/>
    <x v="8"/>
    <x v="149"/>
    <x v="164"/>
  </r>
  <r>
    <m/>
    <x v="28"/>
    <m/>
    <m/>
    <m/>
    <x v="24"/>
    <m/>
    <x v="7"/>
    <x v="4"/>
    <m/>
    <m/>
    <m/>
    <m/>
    <x v="32"/>
    <x v="150"/>
    <x v="1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44FD2E-B1F8-46C5-B257-0DC4FB7B7557}"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35" firstHeaderRow="1" firstDataRow="1" firstDataCol="1"/>
  <pivotFields count="16">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4">
        <item x="14"/>
        <item x="8"/>
        <item x="0"/>
        <item x="4"/>
        <item x="9"/>
        <item x="1"/>
        <item x="11"/>
        <item x="2"/>
        <item x="5"/>
        <item x="10"/>
        <item x="6"/>
        <item x="12"/>
        <item x="26"/>
        <item x="13"/>
        <item x="3"/>
        <item x="30"/>
        <item x="17"/>
        <item x="23"/>
        <item x="27"/>
        <item x="31"/>
        <item x="7"/>
        <item x="15"/>
        <item x="25"/>
        <item x="19"/>
        <item x="20"/>
        <item x="18"/>
        <item x="24"/>
        <item x="16"/>
        <item x="21"/>
        <item x="22"/>
        <item x="29"/>
        <item x="28"/>
        <item x="32"/>
        <item t="default"/>
      </items>
    </pivotField>
    <pivotField showAll="0">
      <items count="152">
        <item x="149"/>
        <item x="148"/>
        <item x="147"/>
        <item x="146"/>
        <item x="145"/>
        <item x="144"/>
        <item x="138"/>
        <item x="143"/>
        <item x="140"/>
        <item x="139"/>
        <item x="137"/>
        <item x="142"/>
        <item x="141"/>
        <item x="134"/>
        <item x="136"/>
        <item x="133"/>
        <item x="135"/>
        <item x="128"/>
        <item x="132"/>
        <item x="131"/>
        <item x="125"/>
        <item x="130"/>
        <item x="129"/>
        <item x="127"/>
        <item x="117"/>
        <item x="121"/>
        <item x="122"/>
        <item x="124"/>
        <item x="126"/>
        <item x="123"/>
        <item x="102"/>
        <item x="120"/>
        <item x="116"/>
        <item x="113"/>
        <item x="110"/>
        <item x="115"/>
        <item x="119"/>
        <item x="114"/>
        <item x="118"/>
        <item x="109"/>
        <item x="112"/>
        <item x="106"/>
        <item x="111"/>
        <item x="105"/>
        <item x="108"/>
        <item x="107"/>
        <item x="104"/>
        <item x="73"/>
        <item x="96"/>
        <item x="103"/>
        <item x="100"/>
        <item x="101"/>
        <item x="74"/>
        <item x="99"/>
        <item x="86"/>
        <item x="82"/>
        <item x="97"/>
        <item x="95"/>
        <item x="92"/>
        <item x="93"/>
        <item x="90"/>
        <item x="98"/>
        <item x="94"/>
        <item x="84"/>
        <item x="89"/>
        <item x="91"/>
        <item x="87"/>
        <item x="88"/>
        <item x="85"/>
        <item x="78"/>
        <item x="55"/>
        <item x="58"/>
        <item x="76"/>
        <item x="75"/>
        <item x="80"/>
        <item x="62"/>
        <item x="83"/>
        <item x="68"/>
        <item x="53"/>
        <item x="71"/>
        <item x="65"/>
        <item x="81"/>
        <item x="61"/>
        <item x="72"/>
        <item x="60"/>
        <item x="70"/>
        <item x="79"/>
        <item x="77"/>
        <item x="69"/>
        <item x="49"/>
        <item x="56"/>
        <item x="63"/>
        <item x="44"/>
        <item x="67"/>
        <item x="64"/>
        <item x="66"/>
        <item x="59"/>
        <item x="51"/>
        <item x="48"/>
        <item x="57"/>
        <item x="43"/>
        <item x="52"/>
        <item x="54"/>
        <item x="46"/>
        <item x="50"/>
        <item x="47"/>
        <item x="45"/>
        <item x="40"/>
        <item x="42"/>
        <item x="39"/>
        <item x="41"/>
        <item x="32"/>
        <item x="34"/>
        <item x="38"/>
        <item x="37"/>
        <item x="36"/>
        <item x="35"/>
        <item x="33"/>
        <item x="31"/>
        <item x="27"/>
        <item x="28"/>
        <item x="25"/>
        <item x="30"/>
        <item x="29"/>
        <item x="26"/>
        <item x="24"/>
        <item x="23"/>
        <item x="22"/>
        <item x="20"/>
        <item x="21"/>
        <item x="19"/>
        <item x="18"/>
        <item x="17"/>
        <item x="15"/>
        <item x="16"/>
        <item x="14"/>
        <item x="13"/>
        <item x="9"/>
        <item x="12"/>
        <item x="11"/>
        <item x="10"/>
        <item x="8"/>
        <item x="7"/>
        <item x="3"/>
        <item x="6"/>
        <item x="5"/>
        <item x="4"/>
        <item x="2"/>
        <item x="1"/>
        <item x="0"/>
        <item x="150"/>
        <item t="default"/>
      </items>
    </pivotField>
    <pivotField dataField="1" showAll="0"/>
  </pivotFields>
  <rowFields count="1">
    <field x="1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Count of dataset_2.cnt" fld="1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96F2EA-6AA4-44C5-BF92-215B9868334F}"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7" firstHeaderRow="1" firstDataRow="1" firstDataCol="1"/>
  <pivotFields count="16">
    <pivotField showAll="0"/>
    <pivotField showAll="0"/>
    <pivotField showAll="0"/>
    <pivotField showAll="0"/>
    <pivotField showAll="0"/>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dataField="1" showAll="0"/>
  </pivotFields>
  <rowFields count="1">
    <field x="8"/>
  </rowFields>
  <rowItems count="6">
    <i>
      <x/>
    </i>
    <i>
      <x v="1"/>
    </i>
    <i>
      <x v="2"/>
    </i>
    <i>
      <x v="3"/>
    </i>
    <i>
      <x v="4"/>
    </i>
    <i t="grand">
      <x/>
    </i>
  </rowItems>
  <colItems count="1">
    <i/>
  </colItems>
  <dataFields count="1">
    <dataField name="Count of dataset_2.cnt" fld="1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5B6581-14B7-46A0-A8F4-70F4904B2989}"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AA11" firstHeaderRow="1" firstDataRow="2" firstDataCol="1"/>
  <pivotFields count="16">
    <pivotField showAll="0"/>
    <pivotField showAll="0"/>
    <pivotField showAll="0"/>
    <pivotField showAll="0"/>
    <pivotField showAll="0"/>
    <pivotField axis="axisCol" showAll="0">
      <items count="26">
        <item x="18"/>
        <item x="17"/>
        <item x="20"/>
        <item x="21"/>
        <item x="23"/>
        <item x="22"/>
        <item x="19"/>
        <item x="11"/>
        <item x="0"/>
        <item x="3"/>
        <item x="13"/>
        <item x="12"/>
        <item x="10"/>
        <item x="9"/>
        <item x="8"/>
        <item x="5"/>
        <item x="6"/>
        <item x="2"/>
        <item x="1"/>
        <item x="4"/>
        <item x="7"/>
        <item x="14"/>
        <item x="15"/>
        <item x="16"/>
        <item x="24"/>
        <item t="default"/>
      </items>
    </pivotField>
    <pivotField showAll="0"/>
    <pivotField axis="axisRow" showAll="0">
      <items count="9">
        <item x="6"/>
        <item x="4"/>
        <item x="1"/>
        <item x="3"/>
        <item x="0"/>
        <item x="2"/>
        <item x="5"/>
        <item x="7"/>
        <item t="default"/>
      </items>
    </pivotField>
    <pivotField showAll="0"/>
    <pivotField showAll="0"/>
    <pivotField showAll="0"/>
    <pivotField showAll="0"/>
    <pivotField showAll="0"/>
    <pivotField showAll="0"/>
    <pivotField showAll="0"/>
    <pivotField dataField="1" showAll="0"/>
  </pivotFields>
  <rowFields count="1">
    <field x="7"/>
  </rowFields>
  <rowItems count="9">
    <i>
      <x/>
    </i>
    <i>
      <x v="1"/>
    </i>
    <i>
      <x v="2"/>
    </i>
    <i>
      <x v="3"/>
    </i>
    <i>
      <x v="4"/>
    </i>
    <i>
      <x v="5"/>
    </i>
    <i>
      <x v="6"/>
    </i>
    <i>
      <x v="7"/>
    </i>
    <i t="grand">
      <x/>
    </i>
  </rowItems>
  <colFields count="1">
    <field x="5"/>
  </colFields>
  <colItems count="26">
    <i>
      <x/>
    </i>
    <i>
      <x v="1"/>
    </i>
    <i>
      <x v="2"/>
    </i>
    <i>
      <x v="3"/>
    </i>
    <i>
      <x v="4"/>
    </i>
    <i>
      <x v="5"/>
    </i>
    <i>
      <x v="6"/>
    </i>
    <i>
      <x v="7"/>
    </i>
    <i>
      <x v="8"/>
    </i>
    <i>
      <x v="9"/>
    </i>
    <i>
      <x v="10"/>
    </i>
    <i>
      <x v="11"/>
    </i>
    <i>
      <x v="12"/>
    </i>
    <i>
      <x v="13"/>
    </i>
    <i>
      <x v="14"/>
    </i>
    <i>
      <x v="15"/>
    </i>
    <i>
      <x v="16"/>
    </i>
    <i>
      <x v="17"/>
    </i>
    <i>
      <x v="18"/>
    </i>
    <i>
      <x v="19"/>
    </i>
    <i>
      <x v="20"/>
    </i>
    <i>
      <x v="21"/>
    </i>
    <i>
      <x v="22"/>
    </i>
    <i>
      <x v="23"/>
    </i>
    <i>
      <x v="24"/>
    </i>
    <i t="grand">
      <x/>
    </i>
  </colItems>
  <dataFields count="1">
    <dataField name="Count of dataset_2.cnt"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B23EAB-8D82-45FE-A964-7302DCE21328}"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C6" firstHeaderRow="0" firstDataRow="1" firstDataCol="0"/>
  <pivotFields count="16">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4">
        <item x="14"/>
        <item x="8"/>
        <item x="0"/>
        <item x="4"/>
        <item x="9"/>
        <item x="1"/>
        <item x="11"/>
        <item x="2"/>
        <item x="5"/>
        <item x="10"/>
        <item x="6"/>
        <item x="12"/>
        <item x="26"/>
        <item x="13"/>
        <item x="3"/>
        <item x="30"/>
        <item x="17"/>
        <item x="23"/>
        <item x="27"/>
        <item x="31"/>
        <item x="7"/>
        <item x="15"/>
        <item x="25"/>
        <item x="19"/>
        <item x="20"/>
        <item x="18"/>
        <item x="24"/>
        <item x="16"/>
        <item x="21"/>
        <item x="22"/>
        <item x="29"/>
        <item x="28"/>
        <item x="32"/>
        <item t="default"/>
      </items>
    </pivotField>
    <pivotField dataField="1" showAll="0">
      <items count="152">
        <item x="149"/>
        <item x="148"/>
        <item x="147"/>
        <item x="146"/>
        <item x="145"/>
        <item x="144"/>
        <item x="138"/>
        <item x="143"/>
        <item x="140"/>
        <item x="139"/>
        <item x="137"/>
        <item x="142"/>
        <item x="141"/>
        <item x="134"/>
        <item x="136"/>
        <item x="133"/>
        <item x="135"/>
        <item x="128"/>
        <item x="132"/>
        <item x="131"/>
        <item x="125"/>
        <item x="130"/>
        <item x="129"/>
        <item x="127"/>
        <item x="117"/>
        <item x="121"/>
        <item x="122"/>
        <item x="124"/>
        <item x="126"/>
        <item x="123"/>
        <item x="102"/>
        <item x="120"/>
        <item x="116"/>
        <item x="113"/>
        <item x="110"/>
        <item x="115"/>
        <item x="119"/>
        <item x="114"/>
        <item x="118"/>
        <item x="109"/>
        <item x="112"/>
        <item x="106"/>
        <item x="111"/>
        <item x="105"/>
        <item x="108"/>
        <item x="107"/>
        <item x="104"/>
        <item x="73"/>
        <item x="96"/>
        <item x="103"/>
        <item x="100"/>
        <item x="101"/>
        <item x="74"/>
        <item x="99"/>
        <item x="86"/>
        <item x="82"/>
        <item x="97"/>
        <item x="95"/>
        <item x="92"/>
        <item x="93"/>
        <item x="90"/>
        <item x="98"/>
        <item x="94"/>
        <item x="84"/>
        <item x="89"/>
        <item x="91"/>
        <item x="87"/>
        <item x="88"/>
        <item x="85"/>
        <item x="78"/>
        <item x="55"/>
        <item x="58"/>
        <item x="76"/>
        <item x="75"/>
        <item x="80"/>
        <item x="62"/>
        <item x="83"/>
        <item x="68"/>
        <item x="53"/>
        <item x="71"/>
        <item x="65"/>
        <item x="81"/>
        <item x="61"/>
        <item x="72"/>
        <item x="60"/>
        <item x="70"/>
        <item x="79"/>
        <item x="77"/>
        <item x="69"/>
        <item x="49"/>
        <item x="56"/>
        <item x="63"/>
        <item x="44"/>
        <item x="67"/>
        <item x="64"/>
        <item x="66"/>
        <item x="59"/>
        <item x="51"/>
        <item x="48"/>
        <item x="57"/>
        <item x="43"/>
        <item x="52"/>
        <item x="54"/>
        <item x="46"/>
        <item x="50"/>
        <item x="47"/>
        <item x="45"/>
        <item x="40"/>
        <item x="42"/>
        <item x="39"/>
        <item x="41"/>
        <item x="32"/>
        <item x="34"/>
        <item x="38"/>
        <item x="37"/>
        <item x="36"/>
        <item x="35"/>
        <item x="33"/>
        <item x="31"/>
        <item x="27"/>
        <item x="28"/>
        <item x="25"/>
        <item x="30"/>
        <item x="29"/>
        <item x="26"/>
        <item x="24"/>
        <item x="23"/>
        <item x="22"/>
        <item x="20"/>
        <item x="21"/>
        <item x="19"/>
        <item x="18"/>
        <item x="17"/>
        <item x="15"/>
        <item x="16"/>
        <item x="14"/>
        <item x="13"/>
        <item x="9"/>
        <item x="12"/>
        <item x="11"/>
        <item x="10"/>
        <item x="8"/>
        <item x="7"/>
        <item x="3"/>
        <item x="6"/>
        <item x="5"/>
        <item x="4"/>
        <item x="2"/>
        <item x="1"/>
        <item x="0"/>
        <item x="150"/>
        <item t="default"/>
      </items>
    </pivotField>
    <pivotField dataField="1" showAll="0">
      <items count="167">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0"/>
        <item x="1"/>
        <item x="165"/>
        <item t="default"/>
      </items>
    </pivotField>
  </pivotFields>
  <rowItems count="1">
    <i/>
  </rowItems>
  <colFields count="1">
    <field x="-2"/>
  </colFields>
  <colItems count="3">
    <i>
      <x/>
    </i>
    <i i="1">
      <x v="1"/>
    </i>
    <i i="2">
      <x v="2"/>
    </i>
  </colItems>
  <dataFields count="3">
    <dataField name="Sum of dataset_2.registered" fld="14" baseField="0" baseItem="0"/>
    <dataField name="Count of dataset_2.cnt" fld="15" subtotal="count" baseField="0" baseItem="0"/>
    <dataField name="Sum of dataset_2.casual" fld="13" baseField="0" baseItem="0"/>
  </dataFields>
  <chartFormats count="3">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BB2B84-8FFC-479B-A17E-DA26E7E313AB}"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27" firstHeaderRow="1" firstDataRow="1" firstDataCol="1"/>
  <pivotFields count="16">
    <pivotField showAll="0"/>
    <pivotField showAll="0"/>
    <pivotField showAll="0"/>
    <pivotField showAll="0"/>
    <pivotField showAll="0"/>
    <pivotField axis="axisRow" showAll="0">
      <items count="26">
        <item x="18"/>
        <item x="17"/>
        <item x="20"/>
        <item x="21"/>
        <item x="23"/>
        <item x="22"/>
        <item x="19"/>
        <item x="11"/>
        <item x="0"/>
        <item x="3"/>
        <item x="13"/>
        <item x="12"/>
        <item x="10"/>
        <item x="9"/>
        <item x="8"/>
        <item x="5"/>
        <item x="6"/>
        <item x="2"/>
        <item x="1"/>
        <item x="4"/>
        <item x="7"/>
        <item x="14"/>
        <item x="15"/>
        <item x="16"/>
        <item x="24"/>
        <item t="default"/>
      </items>
    </pivotField>
    <pivotField showAll="0"/>
    <pivotField showAll="0"/>
    <pivotField showAll="0"/>
    <pivotField showAll="0"/>
    <pivotField showAll="0"/>
    <pivotField showAll="0"/>
    <pivotField showAll="0"/>
    <pivotField showAll="0"/>
    <pivotField showAll="0"/>
    <pivotField dataField="1" showAll="0"/>
  </pivotFields>
  <rowFields count="1">
    <field x="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dataset_2.cnt" fld="1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B641EB-408A-4D8E-ADA9-44CDCC1DBB7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31" firstHeaderRow="1" firstDataRow="1" firstDataCol="1"/>
  <pivotFields count="15">
    <pivotField axis="axisRow" numFmtId="14" showAll="0">
      <items count="29">
        <item x="20"/>
        <item x="24"/>
        <item x="13"/>
        <item x="5"/>
        <item x="9"/>
        <item x="2"/>
        <item x="6"/>
        <item x="23"/>
        <item x="26"/>
        <item x="10"/>
        <item x="3"/>
        <item x="15"/>
        <item x="7"/>
        <item x="12"/>
        <item x="17"/>
        <item x="18"/>
        <item x="25"/>
        <item x="16"/>
        <item x="8"/>
        <item x="0"/>
        <item x="4"/>
        <item x="22"/>
        <item x="19"/>
        <item x="11"/>
        <item x="1"/>
        <item x="27"/>
        <item x="21"/>
        <item x="14"/>
        <item t="default"/>
      </items>
    </pivotField>
    <pivotField showAll="0">
      <items count="2">
        <item x="0"/>
        <item t="default"/>
      </items>
    </pivotField>
    <pivotField showAll="0">
      <items count="2">
        <item x="0"/>
        <item t="default"/>
      </items>
    </pivotField>
    <pivotField showAll="0">
      <items count="2">
        <item x="0"/>
        <item t="default"/>
      </items>
    </pivotField>
    <pivotField multipleItemSelectionAllowed="1" showAll="0">
      <items count="25">
        <item x="18"/>
        <item x="17"/>
        <item x="20"/>
        <item x="21"/>
        <item x="23"/>
        <item x="22"/>
        <item x="19"/>
        <item x="11"/>
        <item h="1" x="0"/>
        <item h="1" x="3"/>
        <item h="1" x="13"/>
        <item h="1" x="12"/>
        <item x="10"/>
        <item h="1" x="9"/>
        <item h="1" x="8"/>
        <item h="1" x="5"/>
        <item h="1" x="6"/>
        <item h="1" x="2"/>
        <item h="1" x="1"/>
        <item h="1" x="4"/>
        <item h="1" x="7"/>
        <item h="1" x="14"/>
        <item h="1" x="15"/>
        <item h="1" x="16"/>
        <item t="default"/>
      </items>
    </pivotField>
    <pivotField showAll="0"/>
    <pivotField showAll="0"/>
    <pivotField showAll="0">
      <items count="5">
        <item x="0"/>
        <item x="1"/>
        <item x="2"/>
        <item x="3"/>
        <item t="default"/>
      </items>
    </pivotField>
    <pivotField showAll="0"/>
    <pivotField showAll="0"/>
    <pivotField showAll="0"/>
    <pivotField showAll="0"/>
    <pivotField showAll="0"/>
    <pivotField showAll="0"/>
    <pivotField dataField="1" showAll="0">
      <items count="166">
        <item x="164"/>
        <item x="163"/>
        <item x="162"/>
        <item x="161"/>
        <item x="160"/>
        <item x="159"/>
        <item x="158"/>
        <item h="1" x="157"/>
        <item h="1" x="156"/>
        <item h="1" x="155"/>
        <item h="1" x="154"/>
        <item x="153"/>
        <item h="1" x="152"/>
        <item h="1" x="151"/>
        <item h="1" x="150"/>
        <item h="1" x="149"/>
        <item h="1" x="148"/>
        <item h="1" x="147"/>
        <item h="1" x="146"/>
        <item h="1" x="145"/>
        <item h="1" x="144"/>
        <item h="1" x="143"/>
        <item h="1" x="142"/>
        <item h="1" x="141"/>
        <item h="1" x="140"/>
        <item h="1" x="139"/>
        <item h="1" x="138"/>
        <item h="1" x="137"/>
        <item h="1" x="136"/>
        <item h="1" x="135"/>
        <item h="1" x="134"/>
        <item h="1" x="133"/>
        <item h="1" x="132"/>
        <item h="1" x="131"/>
        <item h="1" x="130"/>
        <item h="1" x="129"/>
        <item h="1" x="128"/>
        <item h="1" x="127"/>
        <item h="1" x="126"/>
        <item h="1" x="125"/>
        <item h="1" x="124"/>
        <item h="1" x="123"/>
        <item h="1" x="122"/>
        <item h="1" x="121"/>
        <item h="1" x="120"/>
        <item h="1" x="119"/>
        <item h="1" x="118"/>
        <item h="1" x="117"/>
        <item h="1" x="116"/>
        <item h="1" x="115"/>
        <item h="1" x="114"/>
        <item h="1" x="113"/>
        <item h="1" x="112"/>
        <item h="1" x="111"/>
        <item h="1" x="110"/>
        <item h="1" x="109"/>
        <item h="1" x="108"/>
        <item h="1" x="107"/>
        <item h="1" x="106"/>
        <item h="1" x="105"/>
        <item h="1" x="104"/>
        <item h="1" x="103"/>
        <item h="1" x="102"/>
        <item h="1" x="101"/>
        <item h="1" x="100"/>
        <item h="1" x="99"/>
        <item h="1" x="98"/>
        <item h="1" x="97"/>
        <item h="1" x="96"/>
        <item h="1" x="95"/>
        <item h="1" x="94"/>
        <item h="1" x="93"/>
        <item h="1" x="92"/>
        <item h="1" x="91"/>
        <item h="1" x="90"/>
        <item h="1" x="89"/>
        <item h="1" x="88"/>
        <item h="1" x="87"/>
        <item h="1" x="86"/>
        <item h="1" x="85"/>
        <item h="1" x="84"/>
        <item h="1" x="83"/>
        <item h="1" x="82"/>
        <item h="1" x="81"/>
        <item h="1" x="80"/>
        <item h="1" x="79"/>
        <item h="1" x="78"/>
        <item h="1" x="77"/>
        <item h="1" x="76"/>
        <item h="1" x="75"/>
        <item h="1" x="74"/>
        <item h="1" x="73"/>
        <item h="1" x="72"/>
        <item h="1" x="71"/>
        <item h="1" x="70"/>
        <item h="1" x="69"/>
        <item h="1" x="68"/>
        <item h="1" x="67"/>
        <item h="1" x="66"/>
        <item h="1" x="65"/>
        <item h="1" x="64"/>
        <item h="1" x="63"/>
        <item h="1" x="62"/>
        <item h="1" x="61"/>
        <item h="1" x="60"/>
        <item h="1" x="59"/>
        <item h="1" x="58"/>
        <item h="1" x="57"/>
        <item h="1" x="56"/>
        <item h="1" x="55"/>
        <item h="1" x="54"/>
        <item h="1" x="53"/>
        <item h="1" x="52"/>
        <item h="1" x="51"/>
        <item h="1" x="50"/>
        <item h="1" x="49"/>
        <item h="1" x="48"/>
        <item h="1" x="47"/>
        <item h="1" x="46"/>
        <item h="1" x="45"/>
        <item h="1" x="44"/>
        <item h="1" x="43"/>
        <item h="1" x="42"/>
        <item h="1" x="41"/>
        <item h="1" x="40"/>
        <item h="1" x="39"/>
        <item h="1" x="38"/>
        <item h="1" x="37"/>
        <item h="1" x="36"/>
        <item h="1" x="35"/>
        <item h="1" x="34"/>
        <item h="1" x="33"/>
        <item h="1" x="32"/>
        <item h="1" x="31"/>
        <item h="1" x="30"/>
        <item h="1" x="29"/>
        <item h="1" x="28"/>
        <item h="1" x="27"/>
        <item h="1" x="26"/>
        <item h="1" x="25"/>
        <item h="1" x="24"/>
        <item h="1" x="23"/>
        <item h="1" x="22"/>
        <item h="1" x="21"/>
        <item h="1" x="20"/>
        <item h="1" x="19"/>
        <item h="1" x="18"/>
        <item h="1" x="17"/>
        <item h="1" x="16"/>
        <item h="1" x="15"/>
        <item h="1" x="14"/>
        <item h="1" x="13"/>
        <item h="1" x="12"/>
        <item h="1" x="11"/>
        <item h="1" x="10"/>
        <item h="1" x="9"/>
        <item h="1" x="8"/>
        <item h="1" x="7"/>
        <item h="1" x="6"/>
        <item h="1" x="5"/>
        <item h="1" x="4"/>
        <item h="1" x="3"/>
        <item h="1" x="2"/>
        <item h="1" x="0"/>
        <item h="1" x="1"/>
        <item t="default"/>
      </items>
    </pivotField>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7"/>
    </i>
    <i t="grand">
      <x/>
    </i>
  </rowItems>
  <colItems count="1">
    <i/>
  </colItems>
  <dataFields count="1">
    <dataField name="Count of dataset_2.cnt" fld="1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FE718A36-CFCF-4311-BECF-A1687E2B9FA4}"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46968FC5-89C7-4B3E-ACB8-E2E42ADE21A0}" autoFormatId="16" applyNumberFormats="0" applyBorderFormats="0" applyFontFormats="0" applyPatternFormats="0" applyAlignmentFormats="0" applyWidthHeightFormats="0">
  <queryTableRefresh nextId="9">
    <queryTableFields count="8">
      <queryTableField id="1" name="Unnamed: 0" tableColumnId="1"/>
      <queryTableField id="2" name="instant" tableColumnId="2"/>
      <queryTableField id="3" name="atemp" tableColumnId="3"/>
      <queryTableField id="4" name="hum" tableColumnId="4"/>
      <queryTableField id="5" name="windspeed" tableColumnId="5"/>
      <queryTableField id="6" name="casual" tableColumnId="6"/>
      <queryTableField id="7" name="registered" tableColumnId="7"/>
      <queryTableField id="8" name="cnt"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C29E6B2E-6EF9-4296-8331-1D09677D9A7B}" autoFormatId="16" applyNumberFormats="0" applyBorderFormats="0" applyFontFormats="0" applyPatternFormats="0" applyAlignmentFormats="0" applyWidthHeightFormats="0">
  <queryTableRefresh nextId="11">
    <queryTableFields count="10">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B36C753C-D590-49F7-AC9A-0B56EBB7F94E}" autoFormatId="16" applyNumberFormats="0" applyBorderFormats="0" applyFontFormats="0" applyPatternFormats="0" applyAlignmentFormats="0" applyWidthHeightFormats="0">
  <queryTableRefresh nextId="18">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dataset_2.atemp" tableColumnId="11"/>
      <queryTableField id="12" name="dataset_2.hum" tableColumnId="12"/>
      <queryTableField id="13" name="dataset_2.windspeed" tableColumnId="13"/>
      <queryTableField id="14" name="dataset_2.casual" tableColumnId="14"/>
      <queryTableField id="15" name="dataset_2.registered" tableColumnId="15"/>
      <queryTableField id="16" name="dataset_2.cnt"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 xr10:uid="{CB925074-DBC9-4355-81BD-D7D5A339C4F2}" sourceName="hr">
  <pivotTables>
    <pivotTable tabId="6" name="PivotTable1"/>
  </pivotTables>
  <data>
    <tabular pivotCacheId="2040198646">
      <items count="24">
        <i x="18" s="1"/>
        <i x="17" s="1"/>
        <i x="20" s="1"/>
        <i x="21" s="1"/>
        <i x="23" s="1"/>
        <i x="22" s="1"/>
        <i x="19" s="1"/>
        <i x="11" s="1"/>
        <i x="10" s="1"/>
        <i x="16"/>
        <i x="0" nd="1"/>
        <i x="3" nd="1"/>
        <i x="13" nd="1"/>
        <i x="12" nd="1"/>
        <i x="9" nd="1"/>
        <i x="8" nd="1"/>
        <i x="5" nd="1"/>
        <i x="6" nd="1"/>
        <i x="2" nd="1"/>
        <i x="1" nd="1"/>
        <i x="4" nd="1"/>
        <i x="7" nd="1"/>
        <i x="14" nd="1"/>
        <i x="1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_2.cnt" xr10:uid="{5E77FD90-D32D-4359-A471-D61E910E27E7}" sourceName="dataset_2.cnt">
  <pivotTables>
    <pivotTable tabId="6" name="PivotTable1"/>
  </pivotTables>
  <data>
    <tabular pivotCacheId="2040198646">
      <items count="165">
        <i x="164" s="1"/>
        <i x="163" s="1"/>
        <i x="162" s="1"/>
        <i x="161" s="1"/>
        <i x="160" s="1"/>
        <i x="159" s="1"/>
        <i x="158" s="1"/>
        <i x="157"/>
        <i x="156"/>
        <i x="155"/>
        <i x="154"/>
        <i x="153" s="1"/>
        <i x="152"/>
        <i x="151"/>
        <i x="150"/>
        <i x="149"/>
        <i x="148"/>
        <i x="147"/>
        <i x="145"/>
        <i x="144"/>
        <i x="143"/>
        <i x="142"/>
        <i x="140"/>
        <i x="138"/>
        <i x="137"/>
        <i x="136"/>
        <i x="135"/>
        <i x="134"/>
        <i x="133"/>
        <i x="132"/>
        <i x="131"/>
        <i x="130"/>
        <i x="129"/>
        <i x="126"/>
        <i x="125"/>
        <i x="117"/>
        <i x="113"/>
        <i x="111"/>
        <i x="110"/>
        <i x="108"/>
        <i x="106"/>
        <i x="105"/>
        <i x="104"/>
        <i x="102"/>
        <i x="101"/>
        <i x="98"/>
        <i x="96"/>
        <i x="94"/>
        <i x="89"/>
        <i x="88"/>
        <i x="87"/>
        <i x="86"/>
        <i x="83"/>
        <i x="82"/>
        <i x="79"/>
        <i x="78"/>
        <i x="77"/>
        <i x="74"/>
        <i x="73"/>
        <i x="72"/>
        <i x="69"/>
        <i x="68"/>
        <i x="66"/>
        <i x="63"/>
        <i x="61"/>
        <i x="60"/>
        <i x="54"/>
        <i x="146" nd="1"/>
        <i x="141" nd="1"/>
        <i x="139" nd="1"/>
        <i x="128" nd="1"/>
        <i x="127" nd="1"/>
        <i x="124" nd="1"/>
        <i x="123" nd="1"/>
        <i x="122" nd="1"/>
        <i x="121" nd="1"/>
        <i x="120" nd="1"/>
        <i x="119" nd="1"/>
        <i x="118" nd="1"/>
        <i x="116" nd="1"/>
        <i x="115" nd="1"/>
        <i x="114" nd="1"/>
        <i x="112" nd="1"/>
        <i x="109" nd="1"/>
        <i x="107" nd="1"/>
        <i x="103" nd="1"/>
        <i x="100" nd="1"/>
        <i x="99" nd="1"/>
        <i x="97" nd="1"/>
        <i x="95" nd="1"/>
        <i x="93" nd="1"/>
        <i x="92" nd="1"/>
        <i x="91" nd="1"/>
        <i x="90" nd="1"/>
        <i x="85" nd="1"/>
        <i x="84" nd="1"/>
        <i x="81" nd="1"/>
        <i x="80" nd="1"/>
        <i x="76" nd="1"/>
        <i x="75" nd="1"/>
        <i x="71" nd="1"/>
        <i x="70" nd="1"/>
        <i x="67" nd="1"/>
        <i x="65" nd="1"/>
        <i x="64" nd="1"/>
        <i x="62" nd="1"/>
        <i x="59" nd="1"/>
        <i x="58" nd="1"/>
        <i x="57" nd="1"/>
        <i x="56" nd="1"/>
        <i x="55" nd="1"/>
        <i x="53" nd="1"/>
        <i x="52" nd="1"/>
        <i x="51" nd="1"/>
        <i x="50" nd="1"/>
        <i x="49" nd="1"/>
        <i x="48" nd="1"/>
        <i x="47" nd="1"/>
        <i x="46" nd="1"/>
        <i x="45" nd="1"/>
        <i x="44" nd="1"/>
        <i x="43" nd="1"/>
        <i x="42" nd="1"/>
        <i x="41" nd="1"/>
        <i x="40" nd="1"/>
        <i x="39" nd="1"/>
        <i x="38" nd="1"/>
        <i x="37" nd="1"/>
        <i x="36" nd="1"/>
        <i x="35" nd="1"/>
        <i x="34" nd="1"/>
        <i x="33" nd="1"/>
        <i x="32" nd="1"/>
        <i x="31" nd="1"/>
        <i x="30" nd="1"/>
        <i x="29" nd="1"/>
        <i x="28" nd="1"/>
        <i x="27" nd="1"/>
        <i x="26" nd="1"/>
        <i x="25" nd="1"/>
        <i x="24" nd="1"/>
        <i x="23" nd="1"/>
        <i x="22" nd="1"/>
        <i x="21" nd="1"/>
        <i x="20" nd="1"/>
        <i x="19" nd="1"/>
        <i x="18" nd="1"/>
        <i x="17" nd="1"/>
        <i x="16" nd="1"/>
        <i x="15" nd="1"/>
        <i x="14" nd="1"/>
        <i x="13" nd="1"/>
        <i x="12" nd="1"/>
        <i x="11" nd="1"/>
        <i x="10" nd="1"/>
        <i x="9" nd="1"/>
        <i x="8" nd="1"/>
        <i x="7" nd="1"/>
        <i x="6" nd="1"/>
        <i x="5" nd="1"/>
        <i x="4" nd="1"/>
        <i x="3" nd="1"/>
        <i x="2" nd="1"/>
        <i x="0"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r" xr10:uid="{9CA4F314-F573-4371-917A-EA407C5B732F}" cache="Slicer_hr" caption="hr" rowHeight="234950"/>
  <slicer name="dataset_2.cnt" xr10:uid="{E59EA683-2424-4B27-BCCA-9FB63737EA9A}" cache="Slicer_dataset_2.cnt" caption="dataset_2.cn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F427D2-DFFC-41DE-A797-0587EECE975D}" name="dataset_3" displayName="dataset_3" ref="A1:P391" tableType="queryTable" totalsRowShown="0">
  <autoFilter ref="A1:P391" xr:uid="{53F427D2-DFFC-41DE-A797-0587EECE975D}"/>
  <tableColumns count="16">
    <tableColumn id="1" xr3:uid="{B5075D43-34AF-4D06-8C9D-2B4CA294AE82}" uniqueName="1" name="instant" queryTableFieldId="1"/>
    <tableColumn id="2" xr3:uid="{CC98AF01-9941-475B-BF63-DE862548884E}" uniqueName="2" name="dteday" queryTableFieldId="2" dataDxfId="15"/>
    <tableColumn id="3" xr3:uid="{B13D456C-BDE4-4A45-9319-8F881439F457}" uniqueName="3" name="season" queryTableFieldId="3"/>
    <tableColumn id="4" xr3:uid="{7F69084D-2AE5-4927-9338-FA65C87D4725}" uniqueName="4" name="yr" queryTableFieldId="4"/>
    <tableColumn id="5" xr3:uid="{BAF8667C-4FEF-4133-9D88-BA17D46316BD}" uniqueName="5" name="mnth" queryTableFieldId="5"/>
    <tableColumn id="6" xr3:uid="{FA4FADB7-B503-437B-B81B-7ADAB094255A}" uniqueName="6" name="hr" queryTableFieldId="6"/>
    <tableColumn id="7" xr3:uid="{BA49E9FE-9BFD-4CC8-8957-BB4A9819702A}" uniqueName="7" name="holiday" queryTableFieldId="7"/>
    <tableColumn id="8" xr3:uid="{609DC048-EE30-409D-BA9E-C139B36758D6}" uniqueName="8" name="weekday" queryTableFieldId="8"/>
    <tableColumn id="9" xr3:uid="{4B00A5A7-2130-4CC1-ABD2-CCA9E1D6EE31}" uniqueName="9" name="weathersit" queryTableFieldId="9"/>
    <tableColumn id="10" xr3:uid="{B5DE117C-3CE2-436F-966E-FBE9A044E7F5}" uniqueName="10" name="temp" queryTableFieldId="10"/>
    <tableColumn id="11" xr3:uid="{88EAC6AD-5F17-4C25-963A-B9AFD0F94593}" uniqueName="11" name="atemp" queryTableFieldId="11"/>
    <tableColumn id="12" xr3:uid="{67E6A597-8B68-4965-B50B-91C064A011C5}" uniqueName="12" name="hum" queryTableFieldId="12"/>
    <tableColumn id="13" xr3:uid="{AE289E49-0DE5-4909-A4A5-C9420C61136A}" uniqueName="13" name="windspeed" queryTableFieldId="13"/>
    <tableColumn id="14" xr3:uid="{06AD621D-84A3-4B4A-A0B5-C9A82398B950}" uniqueName="14" name="casual" queryTableFieldId="14"/>
    <tableColumn id="15" xr3:uid="{EA98FFEB-81BD-4175-93EF-44571627F7AC}" uniqueName="15" name="registered" queryTableFieldId="15"/>
    <tableColumn id="16" xr3:uid="{6535C51C-24F3-4664-931D-F351776DA1F7}" uniqueName="16" name="cnt" queryTableField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67FDF4-A16E-4364-BE70-5B4544E7C247}" name="dataset_2" displayName="dataset_2" ref="A1:H1000" tableType="queryTable" totalsRowShown="0">
  <autoFilter ref="A1:H1000" xr:uid="{6B67FDF4-A16E-4364-BE70-5B4544E7C247}"/>
  <tableColumns count="8">
    <tableColumn id="1" xr3:uid="{1B089225-9E63-46CA-8DB7-36C907967EAE}" uniqueName="1" name="Unnamed: 0" queryTableFieldId="1"/>
    <tableColumn id="2" xr3:uid="{6FC99F82-37F4-4B93-8145-827FEB610097}" uniqueName="2" name="instant" queryTableFieldId="2"/>
    <tableColumn id="3" xr3:uid="{FB1EF2C3-80D5-4FAC-9D7C-E04E3ADC3DB9}" uniqueName="3" name="atemp" queryTableFieldId="3"/>
    <tableColumn id="4" xr3:uid="{9E83AAEA-5E74-41FD-8756-58B9AEE2DC36}" uniqueName="4" name="hum" queryTableFieldId="4"/>
    <tableColumn id="5" xr3:uid="{90BA978F-7BBB-4F96-85F9-AE26CBB771B0}" uniqueName="5" name="windspeed" queryTableFieldId="5"/>
    <tableColumn id="6" xr3:uid="{CE463D21-59BC-4D07-98FF-E3210378DF87}" uniqueName="6" name="casual" queryTableFieldId="6"/>
    <tableColumn id="7" xr3:uid="{44AF906D-4C86-4AAF-A6A1-CAAE8030DC55}" uniqueName="7" name="registered" queryTableFieldId="7"/>
    <tableColumn id="8" xr3:uid="{77F1E965-A89B-43E1-B7D2-F79FEC416249}" uniqueName="8" name="cnt" queryTableField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463550-8DDB-4D80-98A6-04DB3E119F6F}" name="dataset_1" displayName="dataset_1" ref="A1:J611" tableType="queryTable" totalsRowShown="0">
  <autoFilter ref="A1:J611" xr:uid="{E5463550-8DDB-4D80-98A6-04DB3E119F6F}"/>
  <tableColumns count="10">
    <tableColumn id="1" xr3:uid="{7C99AEF6-8B51-4150-B90B-0B8F1125FF73}" uniqueName="1" name="instant" queryTableFieldId="1"/>
    <tableColumn id="2" xr3:uid="{99407893-3DC0-4A99-81DC-4E72DECAB71E}" uniqueName="2" name="dteday" queryTableFieldId="2" dataDxfId="14"/>
    <tableColumn id="3" xr3:uid="{2F72210B-6BDE-42BA-93A6-B1243262F32F}" uniqueName="3" name="season" queryTableFieldId="3"/>
    <tableColumn id="4" xr3:uid="{00B336D4-3D14-4809-B6B6-715C100B3676}" uniqueName="4" name="yr" queryTableFieldId="4"/>
    <tableColumn id="5" xr3:uid="{0A1B4AEC-7DC6-4BE6-9531-5065F911C15B}" uniqueName="5" name="mnth" queryTableFieldId="5"/>
    <tableColumn id="6" xr3:uid="{B1A6A301-C24A-4BBA-844B-1C036AF73625}" uniqueName="6" name="hr" queryTableFieldId="6"/>
    <tableColumn id="7" xr3:uid="{E23DE013-2C2E-4BF1-8EEF-330E3FDBC7B8}" uniqueName="7" name="holiday" queryTableFieldId="7"/>
    <tableColumn id="8" xr3:uid="{778742C7-4CE5-40CB-9057-4A0BC93E9203}" uniqueName="8" name="weekday" queryTableFieldId="8"/>
    <tableColumn id="9" xr3:uid="{6B5080E7-D51D-4859-925D-4F79076C1434}" uniqueName="9" name="weathersit" queryTableFieldId="9"/>
    <tableColumn id="10" xr3:uid="{779C2EE7-2213-4E21-8E0C-CEFE0DD10860}" uniqueName="10" name="temp" queryTableField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6350E3E-A096-4CC9-8A6D-F4C6F2428A3E}" name="Merge1" displayName="Merge1" ref="A1:P608" tableType="queryTable" totalsRowShown="0">
  <autoFilter ref="A1:P608" xr:uid="{C6350E3E-A096-4CC9-8A6D-F4C6F2428A3E}">
    <filterColumn colId="8">
      <customFilters>
        <customFilter operator="notEqual" val=" "/>
      </customFilters>
    </filterColumn>
  </autoFilter>
  <sortState xmlns:xlrd2="http://schemas.microsoft.com/office/spreadsheetml/2017/richdata2" ref="A3:P608">
    <sortCondition descending="1" ref="P1:P608"/>
  </sortState>
  <tableColumns count="16">
    <tableColumn id="1" xr3:uid="{EF77FD16-8640-4E75-8F00-980FD8EC385D}" uniqueName="1" name="instant" queryTableFieldId="1"/>
    <tableColumn id="2" xr3:uid="{0616C3BC-BC26-435F-B503-43BD51BEFB36}" uniqueName="2" name="dteday" queryTableFieldId="2" dataDxfId="13"/>
    <tableColumn id="3" xr3:uid="{9681523F-346B-4AF1-98AA-D45BDC7C4A22}" uniqueName="3" name="season" queryTableFieldId="3"/>
    <tableColumn id="4" xr3:uid="{154A59EB-2C3E-42FF-9E31-F58D29694098}" uniqueName="4" name="yr" queryTableFieldId="4"/>
    <tableColumn id="5" xr3:uid="{CF88CE5D-7130-4292-85D3-3F932BC145F3}" uniqueName="5" name="mnth" queryTableFieldId="5"/>
    <tableColumn id="6" xr3:uid="{2E671279-FA09-43F0-AAEB-038860CD8E56}" uniqueName="6" name="hr" queryTableFieldId="6"/>
    <tableColumn id="7" xr3:uid="{F71E595C-54BE-464A-BB4C-D6B7D09972E8}" uniqueName="7" name="holiday" queryTableFieldId="7"/>
    <tableColumn id="8" xr3:uid="{6CD9D95C-F8C2-467E-842D-7F1A0EB61453}" uniqueName="8" name="weekday" queryTableFieldId="8"/>
    <tableColumn id="9" xr3:uid="{B921F50E-8071-466E-87BA-8D624ED46A10}" uniqueName="9" name="weathersit" queryTableFieldId="9"/>
    <tableColumn id="10" xr3:uid="{CC917DDB-589B-468C-8D86-3E432E17B94D}" uniqueName="10" name="temp" queryTableFieldId="10"/>
    <tableColumn id="11" xr3:uid="{3B26C127-9237-48FE-BF95-D7524AD43E51}" uniqueName="11" name="dataset_2.atemp" queryTableFieldId="11"/>
    <tableColumn id="12" xr3:uid="{B5C6F39D-2114-4CAF-B263-3977DA4814BC}" uniqueName="12" name="dataset_2.hum" queryTableFieldId="12"/>
    <tableColumn id="13" xr3:uid="{62139C3B-A1D6-4079-8BD8-82124C01C069}" uniqueName="13" name="dataset_2.windspeed" queryTableFieldId="13"/>
    <tableColumn id="14" xr3:uid="{C0117B92-C4CF-4380-BC1A-DC1A1034D70A}" uniqueName="14" name="dataset_2.casual" queryTableFieldId="14"/>
    <tableColumn id="15" xr3:uid="{7F3E75E5-7D5F-449F-9EE7-1A91E4377C42}" uniqueName="15" name="dataset_2.registered" queryTableFieldId="15"/>
    <tableColumn id="16" xr3:uid="{8572CBF2-C3E8-47FD-B966-2CF6FEF44B2B}" uniqueName="16" name="dataset_2.cnt" queryTableFieldId="1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42D51F-8AEC-4946-851E-17D74E0D6979}" name="Table5" displayName="Table5" ref="A1:E43" totalsRowShown="0">
  <autoFilter ref="A1:E43" xr:uid="{BA42D51F-8AEC-4946-851E-17D74E0D6979}"/>
  <tableColumns count="5">
    <tableColumn id="1" xr3:uid="{8690EE83-F3C7-4F94-AF7A-4BB1BD600DC4}" name="dteday" dataDxfId="2"/>
    <tableColumn id="2" xr3:uid="{398D53ED-12A8-459C-80B6-C449D9185A0B}" name="dataset_2.cnt"/>
    <tableColumn id="3" xr3:uid="{01511B55-26A2-41B7-A779-4F3F70A012DB}" name="Forecast(dataset_2.cnt)">
      <calculatedColumnFormula>_xlfn.FORECAST.ETS(A2,$B$2:$B$29,$A$2:$A$29,1,1)</calculatedColumnFormula>
    </tableColumn>
    <tableColumn id="4" xr3:uid="{140C8F9B-9117-4789-9E3F-F0C7019153ED}" name="Lower Confidence Bound(dataset_2.cnt)" dataDxfId="1">
      <calculatedColumnFormula>C2-_xlfn.FORECAST.ETS.CONFINT(A2,$B$2:$B$29,$A$2:$A$29,0.95,1,1)</calculatedColumnFormula>
    </tableColumn>
    <tableColumn id="5" xr3:uid="{F90FD42F-091F-465F-9009-5515D8331800}" name="Upper Confidence Bound(dataset_2.cnt)" dataDxfId="0">
      <calculatedColumnFormula>C2+_xlfn.FORECAST.ETS.CONFINT(A2,$B$2:$B$29,$A$2:$A$29,0.95,1,1)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19A8C-2F93-4F88-9B87-DBB5AA74BEE7}">
  <dimension ref="A1:P391"/>
  <sheetViews>
    <sheetView workbookViewId="0"/>
  </sheetViews>
  <sheetFormatPr defaultRowHeight="14.4" x14ac:dyDescent="0.3"/>
  <cols>
    <col min="1" max="1" width="9" bestFit="1" customWidth="1"/>
    <col min="2" max="2" width="10.33203125" bestFit="1" customWidth="1"/>
    <col min="3" max="3" width="9" bestFit="1" customWidth="1"/>
    <col min="4" max="4" width="4.88671875" bestFit="1" customWidth="1"/>
    <col min="5" max="5" width="7.77734375" bestFit="1" customWidth="1"/>
    <col min="6" max="6" width="5" bestFit="1" customWidth="1"/>
    <col min="7" max="7" width="9.44140625" bestFit="1" customWidth="1"/>
    <col min="8" max="8" width="10.77734375" bestFit="1" customWidth="1"/>
    <col min="9" max="9" width="12" bestFit="1" customWidth="1"/>
    <col min="10" max="10" width="7.6640625" bestFit="1" customWidth="1"/>
    <col min="11" max="11" width="8.6640625" bestFit="1" customWidth="1"/>
    <col min="12" max="12" width="7.109375" bestFit="1" customWidth="1"/>
    <col min="13" max="13" width="12.33203125" bestFit="1" customWidth="1"/>
    <col min="14" max="14" width="8.44140625" bestFit="1" customWidth="1"/>
    <col min="15" max="15" width="11.5546875" bestFit="1" customWidth="1"/>
    <col min="16" max="16" width="5.88671875" bestFit="1" customWidth="1"/>
  </cols>
  <sheetData>
    <row r="1" spans="1:16" x14ac:dyDescent="0.3">
      <c r="A1" t="s">
        <v>0</v>
      </c>
      <c r="B1" t="s">
        <v>1</v>
      </c>
      <c r="C1" t="s">
        <v>2</v>
      </c>
      <c r="D1" t="s">
        <v>3</v>
      </c>
      <c r="E1" t="s">
        <v>4</v>
      </c>
      <c r="F1" t="s">
        <v>5</v>
      </c>
      <c r="G1" t="s">
        <v>6</v>
      </c>
      <c r="H1" t="s">
        <v>7</v>
      </c>
      <c r="I1" t="s">
        <v>8</v>
      </c>
      <c r="J1" t="s">
        <v>9</v>
      </c>
      <c r="K1" t="s">
        <v>11</v>
      </c>
      <c r="L1" t="s">
        <v>12</v>
      </c>
      <c r="M1" t="s">
        <v>13</v>
      </c>
      <c r="N1" t="s">
        <v>14</v>
      </c>
      <c r="O1" t="s">
        <v>15</v>
      </c>
      <c r="P1" t="s">
        <v>16</v>
      </c>
    </row>
    <row r="2" spans="1:16" x14ac:dyDescent="0.3">
      <c r="A2">
        <v>620</v>
      </c>
      <c r="B2" s="1">
        <v>40572</v>
      </c>
      <c r="C2">
        <v>1</v>
      </c>
      <c r="D2">
        <v>0</v>
      </c>
      <c r="E2">
        <v>1</v>
      </c>
      <c r="F2">
        <v>1</v>
      </c>
      <c r="G2" t="b">
        <v>0</v>
      </c>
      <c r="H2">
        <v>6</v>
      </c>
      <c r="I2">
        <v>1</v>
      </c>
      <c r="J2">
        <v>0.22</v>
      </c>
      <c r="K2">
        <v>0.2273</v>
      </c>
      <c r="L2">
        <v>0.64</v>
      </c>
      <c r="M2">
        <v>0.19400000000000001</v>
      </c>
      <c r="N2">
        <v>0</v>
      </c>
      <c r="O2">
        <v>20</v>
      </c>
      <c r="P2">
        <v>20</v>
      </c>
    </row>
    <row r="3" spans="1:16" x14ac:dyDescent="0.3">
      <c r="A3">
        <v>621</v>
      </c>
      <c r="B3" s="1">
        <v>40572</v>
      </c>
      <c r="C3">
        <v>1</v>
      </c>
      <c r="D3">
        <v>0</v>
      </c>
      <c r="E3">
        <v>1</v>
      </c>
      <c r="F3">
        <v>2</v>
      </c>
      <c r="G3" t="b">
        <v>0</v>
      </c>
      <c r="H3">
        <v>6</v>
      </c>
      <c r="I3">
        <v>1</v>
      </c>
      <c r="J3">
        <v>0.22</v>
      </c>
      <c r="K3">
        <v>0.2273</v>
      </c>
      <c r="L3">
        <v>0.64</v>
      </c>
      <c r="M3">
        <v>0.16420000000000001</v>
      </c>
      <c r="N3">
        <v>0</v>
      </c>
      <c r="O3">
        <v>15</v>
      </c>
      <c r="P3">
        <v>15</v>
      </c>
    </row>
    <row r="4" spans="1:16" x14ac:dyDescent="0.3">
      <c r="A4">
        <v>622</v>
      </c>
      <c r="B4" s="1">
        <v>40572</v>
      </c>
      <c r="C4">
        <v>1</v>
      </c>
      <c r="D4">
        <v>0</v>
      </c>
      <c r="E4">
        <v>1</v>
      </c>
      <c r="F4">
        <v>3</v>
      </c>
      <c r="G4" t="b">
        <v>0</v>
      </c>
      <c r="H4">
        <v>6</v>
      </c>
      <c r="I4">
        <v>1</v>
      </c>
      <c r="J4">
        <v>0.2</v>
      </c>
      <c r="K4">
        <v>0.21210000000000001</v>
      </c>
      <c r="L4">
        <v>0.64</v>
      </c>
      <c r="M4">
        <v>0.1343</v>
      </c>
      <c r="N4">
        <v>3</v>
      </c>
      <c r="O4">
        <v>5</v>
      </c>
      <c r="P4">
        <v>8</v>
      </c>
    </row>
    <row r="5" spans="1:16" x14ac:dyDescent="0.3">
      <c r="A5">
        <v>623</v>
      </c>
      <c r="B5" s="1">
        <v>40572</v>
      </c>
      <c r="C5">
        <v>1</v>
      </c>
      <c r="D5">
        <v>0</v>
      </c>
      <c r="E5">
        <v>1</v>
      </c>
      <c r="F5">
        <v>4</v>
      </c>
      <c r="G5" t="b">
        <v>0</v>
      </c>
      <c r="H5">
        <v>6</v>
      </c>
      <c r="I5">
        <v>1</v>
      </c>
      <c r="J5">
        <v>0.16</v>
      </c>
      <c r="K5">
        <v>0.18179999999999999</v>
      </c>
      <c r="L5">
        <v>0.69</v>
      </c>
      <c r="M5">
        <v>0.1045</v>
      </c>
      <c r="N5">
        <v>1</v>
      </c>
      <c r="O5">
        <v>2</v>
      </c>
      <c r="P5">
        <v>3</v>
      </c>
    </row>
    <row r="6" spans="1:16" x14ac:dyDescent="0.3">
      <c r="A6">
        <v>624</v>
      </c>
      <c r="B6" s="1">
        <v>40572</v>
      </c>
      <c r="C6">
        <v>1</v>
      </c>
      <c r="D6">
        <v>0</v>
      </c>
      <c r="E6">
        <v>1</v>
      </c>
      <c r="F6">
        <v>6</v>
      </c>
      <c r="G6" t="b">
        <v>0</v>
      </c>
      <c r="H6">
        <v>6</v>
      </c>
      <c r="I6">
        <v>1</v>
      </c>
      <c r="J6">
        <v>0.16</v>
      </c>
      <c r="K6">
        <v>0.18179999999999999</v>
      </c>
      <c r="L6">
        <v>0.64</v>
      </c>
      <c r="M6">
        <v>0.1343</v>
      </c>
      <c r="N6">
        <v>0</v>
      </c>
      <c r="O6">
        <v>2</v>
      </c>
      <c r="P6">
        <v>2</v>
      </c>
    </row>
    <row r="7" spans="1:16" x14ac:dyDescent="0.3">
      <c r="A7">
        <v>625</v>
      </c>
      <c r="B7" s="1">
        <v>40572</v>
      </c>
      <c r="C7">
        <v>1</v>
      </c>
      <c r="D7">
        <v>0</v>
      </c>
      <c r="E7">
        <v>1</v>
      </c>
      <c r="F7">
        <v>7</v>
      </c>
      <c r="G7" t="b">
        <v>0</v>
      </c>
      <c r="H7">
        <v>6</v>
      </c>
      <c r="I7">
        <v>1</v>
      </c>
      <c r="J7">
        <v>0.16</v>
      </c>
      <c r="K7">
        <v>0.18179999999999999</v>
      </c>
      <c r="L7">
        <v>0.59</v>
      </c>
      <c r="M7">
        <v>0.1045</v>
      </c>
      <c r="N7">
        <v>1</v>
      </c>
      <c r="O7">
        <v>4</v>
      </c>
      <c r="P7">
        <v>5</v>
      </c>
    </row>
    <row r="8" spans="1:16" x14ac:dyDescent="0.3">
      <c r="A8">
        <v>626</v>
      </c>
      <c r="B8" s="1">
        <v>40572</v>
      </c>
      <c r="C8">
        <v>1</v>
      </c>
      <c r="D8">
        <v>0</v>
      </c>
      <c r="E8">
        <v>1</v>
      </c>
      <c r="F8">
        <v>8</v>
      </c>
      <c r="G8" t="b">
        <v>0</v>
      </c>
      <c r="H8">
        <v>6</v>
      </c>
      <c r="I8">
        <v>1</v>
      </c>
      <c r="J8">
        <v>0.18</v>
      </c>
      <c r="K8">
        <v>0.19700000000000001</v>
      </c>
      <c r="L8">
        <v>0.55000000000000004</v>
      </c>
      <c r="M8">
        <v>0.16420000000000001</v>
      </c>
      <c r="N8">
        <v>3</v>
      </c>
      <c r="O8">
        <v>31</v>
      </c>
      <c r="P8">
        <v>34</v>
      </c>
    </row>
    <row r="9" spans="1:16" x14ac:dyDescent="0.3">
      <c r="A9">
        <v>627</v>
      </c>
      <c r="B9" s="1">
        <v>40572</v>
      </c>
      <c r="C9">
        <v>1</v>
      </c>
      <c r="D9">
        <v>0</v>
      </c>
      <c r="E9">
        <v>1</v>
      </c>
      <c r="F9">
        <v>9</v>
      </c>
      <c r="G9" t="b">
        <v>0</v>
      </c>
      <c r="H9">
        <v>6</v>
      </c>
      <c r="I9">
        <v>1</v>
      </c>
      <c r="J9">
        <v>0.18</v>
      </c>
      <c r="K9">
        <v>0.21210000000000001</v>
      </c>
      <c r="L9">
        <v>0.59</v>
      </c>
      <c r="M9">
        <v>8.9599999999999999E-2</v>
      </c>
      <c r="N9">
        <v>0</v>
      </c>
      <c r="O9">
        <v>34</v>
      </c>
      <c r="P9">
        <v>34</v>
      </c>
    </row>
    <row r="10" spans="1:16" x14ac:dyDescent="0.3">
      <c r="A10">
        <v>628</v>
      </c>
      <c r="B10" s="1">
        <v>40572</v>
      </c>
      <c r="C10">
        <v>1</v>
      </c>
      <c r="D10">
        <v>0</v>
      </c>
      <c r="E10">
        <v>1</v>
      </c>
      <c r="F10">
        <v>10</v>
      </c>
      <c r="G10" t="b">
        <v>0</v>
      </c>
      <c r="H10">
        <v>6</v>
      </c>
      <c r="I10">
        <v>2</v>
      </c>
      <c r="J10">
        <v>0.18</v>
      </c>
      <c r="K10">
        <v>0.21210000000000001</v>
      </c>
      <c r="L10">
        <v>0.64</v>
      </c>
      <c r="M10">
        <v>0.1045</v>
      </c>
      <c r="N10">
        <v>4</v>
      </c>
      <c r="O10">
        <v>51</v>
      </c>
      <c r="P10">
        <v>55</v>
      </c>
    </row>
    <row r="11" spans="1:16" x14ac:dyDescent="0.3">
      <c r="A11">
        <v>629</v>
      </c>
      <c r="B11" s="1">
        <v>40572</v>
      </c>
      <c r="C11">
        <v>1</v>
      </c>
      <c r="D11">
        <v>0</v>
      </c>
      <c r="E11">
        <v>1</v>
      </c>
      <c r="F11">
        <v>11</v>
      </c>
      <c r="G11" t="b">
        <v>0</v>
      </c>
      <c r="H11">
        <v>6</v>
      </c>
      <c r="I11">
        <v>2</v>
      </c>
      <c r="J11">
        <v>0.18</v>
      </c>
      <c r="K11">
        <v>0.19700000000000001</v>
      </c>
      <c r="L11">
        <v>0.64</v>
      </c>
      <c r="M11">
        <v>0.1343</v>
      </c>
      <c r="N11">
        <v>4</v>
      </c>
      <c r="O11">
        <v>60</v>
      </c>
      <c r="P11">
        <v>64</v>
      </c>
    </row>
    <row r="12" spans="1:16" x14ac:dyDescent="0.3">
      <c r="A12">
        <v>630</v>
      </c>
      <c r="B12" s="1">
        <v>40572</v>
      </c>
      <c r="C12">
        <v>1</v>
      </c>
      <c r="D12">
        <v>0</v>
      </c>
      <c r="E12">
        <v>1</v>
      </c>
      <c r="F12">
        <v>12</v>
      </c>
      <c r="G12" t="b">
        <v>0</v>
      </c>
      <c r="H12">
        <v>6</v>
      </c>
      <c r="I12">
        <v>2</v>
      </c>
      <c r="J12">
        <v>0.2</v>
      </c>
      <c r="K12">
        <v>0.19700000000000001</v>
      </c>
      <c r="L12">
        <v>0.59</v>
      </c>
      <c r="M12">
        <v>0.19400000000000001</v>
      </c>
      <c r="N12">
        <v>12</v>
      </c>
      <c r="O12">
        <v>66</v>
      </c>
      <c r="P12">
        <v>78</v>
      </c>
    </row>
    <row r="13" spans="1:16" x14ac:dyDescent="0.3">
      <c r="A13">
        <v>631</v>
      </c>
      <c r="B13" s="1">
        <v>40572</v>
      </c>
      <c r="C13">
        <v>1</v>
      </c>
      <c r="D13">
        <v>0</v>
      </c>
      <c r="E13">
        <v>1</v>
      </c>
      <c r="F13">
        <v>13</v>
      </c>
      <c r="G13" t="b">
        <v>0</v>
      </c>
      <c r="H13">
        <v>6</v>
      </c>
      <c r="I13">
        <v>2</v>
      </c>
      <c r="J13">
        <v>0.22</v>
      </c>
      <c r="K13">
        <v>0.2273</v>
      </c>
      <c r="L13">
        <v>0.55000000000000004</v>
      </c>
      <c r="M13">
        <v>0.16420000000000001</v>
      </c>
      <c r="N13">
        <v>9</v>
      </c>
      <c r="O13">
        <v>56</v>
      </c>
      <c r="P13">
        <v>65</v>
      </c>
    </row>
    <row r="14" spans="1:16" x14ac:dyDescent="0.3">
      <c r="A14">
        <v>632</v>
      </c>
      <c r="B14" s="1">
        <v>40572</v>
      </c>
      <c r="C14">
        <v>1</v>
      </c>
      <c r="D14">
        <v>0</v>
      </c>
      <c r="E14">
        <v>1</v>
      </c>
      <c r="F14">
        <v>14</v>
      </c>
      <c r="G14" t="b">
        <v>0</v>
      </c>
      <c r="H14">
        <v>6</v>
      </c>
      <c r="I14">
        <v>2</v>
      </c>
      <c r="J14">
        <v>0.22</v>
      </c>
      <c r="K14">
        <v>0.2273</v>
      </c>
      <c r="L14">
        <v>0.6</v>
      </c>
      <c r="M14">
        <v>0.1343</v>
      </c>
      <c r="N14">
        <v>10</v>
      </c>
      <c r="O14">
        <v>89</v>
      </c>
      <c r="P14">
        <v>99</v>
      </c>
    </row>
    <row r="15" spans="1:16" x14ac:dyDescent="0.3">
      <c r="A15">
        <v>633</v>
      </c>
      <c r="B15" s="1">
        <v>40572</v>
      </c>
      <c r="C15">
        <v>1</v>
      </c>
      <c r="D15">
        <v>0</v>
      </c>
      <c r="E15">
        <v>1</v>
      </c>
      <c r="F15">
        <v>15</v>
      </c>
      <c r="G15" t="b">
        <v>0</v>
      </c>
      <c r="H15">
        <v>6</v>
      </c>
      <c r="I15">
        <v>1</v>
      </c>
      <c r="J15">
        <v>0.22</v>
      </c>
      <c r="K15">
        <v>0.21210000000000001</v>
      </c>
      <c r="L15">
        <v>0.69</v>
      </c>
      <c r="M15">
        <v>0.25369999999999998</v>
      </c>
      <c r="N15">
        <v>22</v>
      </c>
      <c r="O15">
        <v>98</v>
      </c>
      <c r="P15">
        <v>120</v>
      </c>
    </row>
    <row r="16" spans="1:16" x14ac:dyDescent="0.3">
      <c r="A16">
        <v>634</v>
      </c>
      <c r="B16" s="1">
        <v>40572</v>
      </c>
      <c r="C16">
        <v>1</v>
      </c>
      <c r="D16">
        <v>0</v>
      </c>
      <c r="E16">
        <v>1</v>
      </c>
      <c r="F16">
        <v>16</v>
      </c>
      <c r="G16" t="b">
        <v>0</v>
      </c>
      <c r="H16">
        <v>6</v>
      </c>
      <c r="I16">
        <v>1</v>
      </c>
      <c r="J16">
        <v>0.24</v>
      </c>
      <c r="K16">
        <v>0.2424</v>
      </c>
      <c r="L16">
        <v>0.6</v>
      </c>
      <c r="M16">
        <v>0.16420000000000001</v>
      </c>
      <c r="N16">
        <v>19</v>
      </c>
      <c r="O16">
        <v>88</v>
      </c>
      <c r="P16">
        <v>107</v>
      </c>
    </row>
    <row r="17" spans="1:16" x14ac:dyDescent="0.3">
      <c r="A17">
        <v>635</v>
      </c>
      <c r="B17" s="1">
        <v>40572</v>
      </c>
      <c r="C17">
        <v>1</v>
      </c>
      <c r="D17">
        <v>0</v>
      </c>
      <c r="E17">
        <v>1</v>
      </c>
      <c r="F17">
        <v>17</v>
      </c>
      <c r="G17" t="b">
        <v>0</v>
      </c>
      <c r="H17">
        <v>6</v>
      </c>
      <c r="I17">
        <v>1</v>
      </c>
      <c r="J17">
        <v>0.24</v>
      </c>
      <c r="K17">
        <v>0.28789999999999999</v>
      </c>
      <c r="L17">
        <v>0.6</v>
      </c>
      <c r="M17">
        <v>0</v>
      </c>
      <c r="N17">
        <v>9</v>
      </c>
      <c r="O17">
        <v>82</v>
      </c>
      <c r="P17">
        <v>91</v>
      </c>
    </row>
    <row r="18" spans="1:16" x14ac:dyDescent="0.3">
      <c r="A18">
        <v>636</v>
      </c>
      <c r="B18" s="1">
        <v>40572</v>
      </c>
      <c r="C18">
        <v>1</v>
      </c>
      <c r="D18">
        <v>0</v>
      </c>
      <c r="E18">
        <v>1</v>
      </c>
      <c r="F18">
        <v>18</v>
      </c>
      <c r="G18" t="b">
        <v>0</v>
      </c>
      <c r="H18">
        <v>6</v>
      </c>
      <c r="I18">
        <v>1</v>
      </c>
      <c r="J18">
        <v>0.22</v>
      </c>
      <c r="K18">
        <v>0.2273</v>
      </c>
      <c r="L18">
        <v>0.69</v>
      </c>
      <c r="M18">
        <v>0.1343</v>
      </c>
      <c r="N18">
        <v>9</v>
      </c>
      <c r="O18">
        <v>59</v>
      </c>
      <c r="P18">
        <v>68</v>
      </c>
    </row>
    <row r="19" spans="1:16" x14ac:dyDescent="0.3">
      <c r="A19">
        <v>637</v>
      </c>
      <c r="B19" s="1">
        <v>40572</v>
      </c>
      <c r="C19">
        <v>1</v>
      </c>
      <c r="D19">
        <v>0</v>
      </c>
      <c r="E19">
        <v>1</v>
      </c>
      <c r="F19">
        <v>19</v>
      </c>
      <c r="G19" t="b">
        <v>0</v>
      </c>
      <c r="H19">
        <v>6</v>
      </c>
      <c r="I19">
        <v>2</v>
      </c>
      <c r="J19">
        <v>0.22</v>
      </c>
      <c r="K19">
        <v>0.21210000000000001</v>
      </c>
      <c r="L19">
        <v>0.69</v>
      </c>
      <c r="M19">
        <v>0.25369999999999998</v>
      </c>
      <c r="N19">
        <v>6</v>
      </c>
      <c r="O19">
        <v>52</v>
      </c>
      <c r="P19">
        <v>58</v>
      </c>
    </row>
    <row r="20" spans="1:16" x14ac:dyDescent="0.3">
      <c r="A20">
        <v>638</v>
      </c>
      <c r="B20" s="1">
        <v>40572</v>
      </c>
      <c r="C20">
        <v>1</v>
      </c>
      <c r="D20">
        <v>0</v>
      </c>
      <c r="E20">
        <v>1</v>
      </c>
      <c r="F20">
        <v>20</v>
      </c>
      <c r="G20" t="b">
        <v>0</v>
      </c>
      <c r="H20">
        <v>6</v>
      </c>
      <c r="I20">
        <v>1</v>
      </c>
      <c r="J20">
        <v>0.18</v>
      </c>
      <c r="K20">
        <v>0.21210000000000001</v>
      </c>
      <c r="L20">
        <v>0.74</v>
      </c>
      <c r="M20">
        <v>8.9599999999999999E-2</v>
      </c>
      <c r="N20">
        <v>1</v>
      </c>
      <c r="O20">
        <v>42</v>
      </c>
      <c r="P20">
        <v>43</v>
      </c>
    </row>
    <row r="21" spans="1:16" x14ac:dyDescent="0.3">
      <c r="A21">
        <v>639</v>
      </c>
      <c r="B21" s="1">
        <v>40572</v>
      </c>
      <c r="C21">
        <v>1</v>
      </c>
      <c r="D21">
        <v>0</v>
      </c>
      <c r="E21">
        <v>1</v>
      </c>
      <c r="F21">
        <v>21</v>
      </c>
      <c r="G21" t="b">
        <v>0</v>
      </c>
      <c r="H21">
        <v>6</v>
      </c>
      <c r="I21">
        <v>1</v>
      </c>
      <c r="J21">
        <v>0.18</v>
      </c>
      <c r="K21">
        <v>0.21210000000000001</v>
      </c>
      <c r="L21">
        <v>0.74</v>
      </c>
      <c r="M21">
        <v>8.9599999999999999E-2</v>
      </c>
      <c r="N21">
        <v>1</v>
      </c>
      <c r="O21">
        <v>35</v>
      </c>
      <c r="P21">
        <v>36</v>
      </c>
    </row>
    <row r="22" spans="1:16" x14ac:dyDescent="0.3">
      <c r="A22">
        <v>640</v>
      </c>
      <c r="B22" s="1">
        <v>40572</v>
      </c>
      <c r="C22">
        <v>1</v>
      </c>
      <c r="D22">
        <v>0</v>
      </c>
      <c r="E22">
        <v>1</v>
      </c>
      <c r="F22">
        <v>22</v>
      </c>
      <c r="G22" t="b">
        <v>0</v>
      </c>
      <c r="H22">
        <v>6</v>
      </c>
      <c r="I22">
        <v>1</v>
      </c>
      <c r="J22">
        <v>0.16</v>
      </c>
      <c r="K22">
        <v>0.19700000000000001</v>
      </c>
      <c r="L22">
        <v>0.8</v>
      </c>
      <c r="M22">
        <v>8.9599999999999999E-2</v>
      </c>
      <c r="N22">
        <v>4</v>
      </c>
      <c r="O22">
        <v>28</v>
      </c>
      <c r="P22">
        <v>32</v>
      </c>
    </row>
    <row r="23" spans="1:16" x14ac:dyDescent="0.3">
      <c r="A23">
        <v>641</v>
      </c>
      <c r="B23" s="1">
        <v>40572</v>
      </c>
      <c r="C23">
        <v>1</v>
      </c>
      <c r="D23">
        <v>0</v>
      </c>
      <c r="E23">
        <v>1</v>
      </c>
      <c r="F23">
        <v>23</v>
      </c>
      <c r="G23" t="b">
        <v>0</v>
      </c>
      <c r="H23">
        <v>6</v>
      </c>
      <c r="I23">
        <v>1</v>
      </c>
      <c r="J23">
        <v>0.16</v>
      </c>
      <c r="K23">
        <v>0.19700000000000001</v>
      </c>
      <c r="L23">
        <v>0.8</v>
      </c>
      <c r="M23">
        <v>8.9599999999999999E-2</v>
      </c>
      <c r="N23">
        <v>3</v>
      </c>
      <c r="O23">
        <v>30</v>
      </c>
      <c r="P23">
        <v>33</v>
      </c>
    </row>
    <row r="24" spans="1:16" x14ac:dyDescent="0.3">
      <c r="A24">
        <v>642</v>
      </c>
      <c r="B24" s="1">
        <v>40573</v>
      </c>
      <c r="C24">
        <v>1</v>
      </c>
      <c r="D24">
        <v>0</v>
      </c>
      <c r="E24">
        <v>1</v>
      </c>
      <c r="F24">
        <v>0</v>
      </c>
      <c r="G24" t="b">
        <v>0</v>
      </c>
      <c r="H24">
        <v>0</v>
      </c>
      <c r="I24">
        <v>1</v>
      </c>
      <c r="J24">
        <v>0.16</v>
      </c>
      <c r="K24">
        <v>0.18179999999999999</v>
      </c>
      <c r="L24">
        <v>0.8</v>
      </c>
      <c r="M24">
        <v>0.1045</v>
      </c>
      <c r="N24">
        <v>0</v>
      </c>
      <c r="O24">
        <v>33</v>
      </c>
      <c r="P24">
        <v>33</v>
      </c>
    </row>
    <row r="25" spans="1:16" x14ac:dyDescent="0.3">
      <c r="A25">
        <v>643</v>
      </c>
      <c r="B25" s="1">
        <v>40573</v>
      </c>
      <c r="C25">
        <v>1</v>
      </c>
      <c r="D25">
        <v>0</v>
      </c>
      <c r="E25">
        <v>1</v>
      </c>
      <c r="F25">
        <v>1</v>
      </c>
      <c r="G25" t="b">
        <v>0</v>
      </c>
      <c r="H25">
        <v>0</v>
      </c>
      <c r="I25">
        <v>1</v>
      </c>
      <c r="J25">
        <v>0.14000000000000001</v>
      </c>
      <c r="K25">
        <v>0.21210000000000001</v>
      </c>
      <c r="L25">
        <v>0.8</v>
      </c>
      <c r="M25">
        <v>0</v>
      </c>
      <c r="N25">
        <v>7</v>
      </c>
      <c r="O25">
        <v>22</v>
      </c>
      <c r="P25">
        <v>29</v>
      </c>
    </row>
    <row r="26" spans="1:16" x14ac:dyDescent="0.3">
      <c r="A26">
        <v>644</v>
      </c>
      <c r="B26" s="1">
        <v>40573</v>
      </c>
      <c r="C26">
        <v>1</v>
      </c>
      <c r="D26">
        <v>0</v>
      </c>
      <c r="E26">
        <v>1</v>
      </c>
      <c r="F26">
        <v>2</v>
      </c>
      <c r="G26" t="b">
        <v>0</v>
      </c>
      <c r="H26">
        <v>0</v>
      </c>
      <c r="I26">
        <v>1</v>
      </c>
      <c r="J26">
        <v>0.16</v>
      </c>
      <c r="K26">
        <v>0.2273</v>
      </c>
      <c r="L26">
        <v>0.8</v>
      </c>
      <c r="M26">
        <v>0</v>
      </c>
      <c r="N26">
        <v>1</v>
      </c>
      <c r="O26">
        <v>10</v>
      </c>
      <c r="P26">
        <v>11</v>
      </c>
    </row>
    <row r="27" spans="1:16" x14ac:dyDescent="0.3">
      <c r="A27">
        <v>645</v>
      </c>
      <c r="B27" s="1">
        <v>40573</v>
      </c>
      <c r="C27">
        <v>1</v>
      </c>
      <c r="D27">
        <v>0</v>
      </c>
      <c r="E27">
        <v>1</v>
      </c>
      <c r="F27">
        <v>3</v>
      </c>
      <c r="G27" t="b">
        <v>0</v>
      </c>
      <c r="H27">
        <v>0</v>
      </c>
      <c r="I27">
        <v>1</v>
      </c>
      <c r="J27">
        <v>0.14000000000000001</v>
      </c>
      <c r="K27">
        <v>0.21210000000000001</v>
      </c>
      <c r="L27">
        <v>0.93</v>
      </c>
      <c r="M27">
        <v>0</v>
      </c>
      <c r="N27">
        <v>1</v>
      </c>
      <c r="O27">
        <v>7</v>
      </c>
      <c r="P27">
        <v>8</v>
      </c>
    </row>
    <row r="28" spans="1:16" x14ac:dyDescent="0.3">
      <c r="A28">
        <v>646</v>
      </c>
      <c r="B28" s="1">
        <v>40573</v>
      </c>
      <c r="C28">
        <v>1</v>
      </c>
      <c r="D28">
        <v>0</v>
      </c>
      <c r="E28">
        <v>1</v>
      </c>
      <c r="F28">
        <v>4</v>
      </c>
      <c r="G28" t="b">
        <v>0</v>
      </c>
      <c r="H28">
        <v>0</v>
      </c>
      <c r="I28">
        <v>1</v>
      </c>
      <c r="J28">
        <v>0.14000000000000001</v>
      </c>
      <c r="K28">
        <v>0.21210000000000001</v>
      </c>
      <c r="L28">
        <v>0.93</v>
      </c>
      <c r="M28">
        <v>0</v>
      </c>
      <c r="N28">
        <v>0</v>
      </c>
      <c r="O28">
        <v>1</v>
      </c>
      <c r="P28">
        <v>1</v>
      </c>
    </row>
    <row r="29" spans="1:16" x14ac:dyDescent="0.3">
      <c r="A29">
        <v>647</v>
      </c>
      <c r="B29" s="1">
        <v>40573</v>
      </c>
      <c r="C29">
        <v>1</v>
      </c>
      <c r="D29">
        <v>0</v>
      </c>
      <c r="E29">
        <v>1</v>
      </c>
      <c r="F29">
        <v>5</v>
      </c>
      <c r="G29" t="b">
        <v>0</v>
      </c>
      <c r="H29">
        <v>0</v>
      </c>
      <c r="I29">
        <v>1</v>
      </c>
      <c r="J29">
        <v>0.14000000000000001</v>
      </c>
      <c r="K29">
        <v>0.21210000000000001</v>
      </c>
      <c r="L29">
        <v>0.86</v>
      </c>
      <c r="M29">
        <v>0</v>
      </c>
      <c r="N29">
        <v>0</v>
      </c>
      <c r="O29">
        <v>3</v>
      </c>
      <c r="P29">
        <v>3</v>
      </c>
    </row>
    <row r="30" spans="1:16" x14ac:dyDescent="0.3">
      <c r="A30">
        <v>648</v>
      </c>
      <c r="B30" s="1">
        <v>40573</v>
      </c>
      <c r="C30">
        <v>1</v>
      </c>
      <c r="D30">
        <v>0</v>
      </c>
      <c r="E30">
        <v>1</v>
      </c>
      <c r="F30">
        <v>7</v>
      </c>
      <c r="G30" t="b">
        <v>0</v>
      </c>
      <c r="H30">
        <v>0</v>
      </c>
      <c r="I30">
        <v>1</v>
      </c>
      <c r="J30">
        <v>0.14000000000000001</v>
      </c>
      <c r="K30">
        <v>0.21210000000000001</v>
      </c>
      <c r="L30">
        <v>0.86</v>
      </c>
      <c r="M30">
        <v>0</v>
      </c>
      <c r="N30">
        <v>0</v>
      </c>
      <c r="O30">
        <v>3</v>
      </c>
      <c r="P30">
        <v>3</v>
      </c>
    </row>
    <row r="31" spans="1:16" x14ac:dyDescent="0.3">
      <c r="A31">
        <v>649</v>
      </c>
      <c r="B31" s="1">
        <v>40573</v>
      </c>
      <c r="C31">
        <v>1</v>
      </c>
      <c r="D31">
        <v>0</v>
      </c>
      <c r="E31">
        <v>1</v>
      </c>
      <c r="F31">
        <v>8</v>
      </c>
      <c r="G31" t="b">
        <v>0</v>
      </c>
      <c r="H31">
        <v>0</v>
      </c>
      <c r="I31">
        <v>2</v>
      </c>
      <c r="J31">
        <v>0.14000000000000001</v>
      </c>
      <c r="K31">
        <v>0.21210000000000001</v>
      </c>
      <c r="L31">
        <v>0.86</v>
      </c>
      <c r="M31">
        <v>0</v>
      </c>
      <c r="N31">
        <v>1</v>
      </c>
      <c r="O31">
        <v>11</v>
      </c>
      <c r="P31">
        <v>12</v>
      </c>
    </row>
    <row r="32" spans="1:16" x14ac:dyDescent="0.3">
      <c r="A32">
        <v>650</v>
      </c>
      <c r="B32" s="1">
        <v>40573</v>
      </c>
      <c r="C32">
        <v>1</v>
      </c>
      <c r="D32">
        <v>0</v>
      </c>
      <c r="E32">
        <v>1</v>
      </c>
      <c r="F32">
        <v>9</v>
      </c>
      <c r="G32" t="b">
        <v>0</v>
      </c>
      <c r="H32">
        <v>0</v>
      </c>
      <c r="I32">
        <v>2</v>
      </c>
      <c r="J32">
        <v>0.16</v>
      </c>
      <c r="K32">
        <v>0.2273</v>
      </c>
      <c r="L32">
        <v>0.8</v>
      </c>
      <c r="M32">
        <v>0</v>
      </c>
      <c r="N32">
        <v>4</v>
      </c>
      <c r="O32">
        <v>34</v>
      </c>
      <c r="P32">
        <v>38</v>
      </c>
    </row>
    <row r="33" spans="1:16" x14ac:dyDescent="0.3">
      <c r="A33">
        <v>651</v>
      </c>
      <c r="B33" s="1">
        <v>40573</v>
      </c>
      <c r="C33">
        <v>1</v>
      </c>
      <c r="D33">
        <v>0</v>
      </c>
      <c r="E33">
        <v>1</v>
      </c>
      <c r="F33">
        <v>10</v>
      </c>
      <c r="G33" t="b">
        <v>0</v>
      </c>
      <c r="H33">
        <v>0</v>
      </c>
      <c r="I33">
        <v>2</v>
      </c>
      <c r="J33">
        <v>0.18</v>
      </c>
      <c r="K33">
        <v>0.2424</v>
      </c>
      <c r="L33">
        <v>0.8</v>
      </c>
      <c r="M33">
        <v>0</v>
      </c>
      <c r="N33">
        <v>7</v>
      </c>
      <c r="O33">
        <v>57</v>
      </c>
      <c r="P33">
        <v>64</v>
      </c>
    </row>
    <row r="34" spans="1:16" x14ac:dyDescent="0.3">
      <c r="A34">
        <v>652</v>
      </c>
      <c r="B34" s="1">
        <v>40573</v>
      </c>
      <c r="C34">
        <v>1</v>
      </c>
      <c r="D34">
        <v>0</v>
      </c>
      <c r="E34">
        <v>1</v>
      </c>
      <c r="F34">
        <v>11</v>
      </c>
      <c r="G34" t="b">
        <v>0</v>
      </c>
      <c r="H34">
        <v>0</v>
      </c>
      <c r="I34">
        <v>1</v>
      </c>
      <c r="J34">
        <v>0.22</v>
      </c>
      <c r="K34">
        <v>0.2727</v>
      </c>
      <c r="L34">
        <v>0.75</v>
      </c>
      <c r="M34">
        <v>0</v>
      </c>
      <c r="N34">
        <v>9</v>
      </c>
      <c r="O34">
        <v>50</v>
      </c>
      <c r="P34">
        <v>59</v>
      </c>
    </row>
    <row r="35" spans="1:16" x14ac:dyDescent="0.3">
      <c r="A35">
        <v>653</v>
      </c>
      <c r="B35" s="1">
        <v>40573</v>
      </c>
      <c r="C35">
        <v>1</v>
      </c>
      <c r="D35">
        <v>0</v>
      </c>
      <c r="E35">
        <v>1</v>
      </c>
      <c r="F35">
        <v>12</v>
      </c>
      <c r="G35" t="b">
        <v>0</v>
      </c>
      <c r="H35">
        <v>0</v>
      </c>
      <c r="I35">
        <v>1</v>
      </c>
      <c r="J35">
        <v>0.3</v>
      </c>
      <c r="K35">
        <v>0.31819999999999998</v>
      </c>
      <c r="L35">
        <v>0.52</v>
      </c>
      <c r="M35">
        <v>0.1045</v>
      </c>
      <c r="N35">
        <v>10</v>
      </c>
      <c r="O35">
        <v>87</v>
      </c>
      <c r="P35">
        <v>97</v>
      </c>
    </row>
    <row r="36" spans="1:16" x14ac:dyDescent="0.3">
      <c r="A36">
        <v>654</v>
      </c>
      <c r="B36" s="1">
        <v>40573</v>
      </c>
      <c r="C36">
        <v>1</v>
      </c>
      <c r="D36">
        <v>0</v>
      </c>
      <c r="E36">
        <v>1</v>
      </c>
      <c r="F36">
        <v>13</v>
      </c>
      <c r="G36" t="b">
        <v>0</v>
      </c>
      <c r="H36">
        <v>0</v>
      </c>
      <c r="I36">
        <v>1</v>
      </c>
      <c r="J36">
        <v>0.28000000000000003</v>
      </c>
      <c r="K36">
        <v>0.28789999999999999</v>
      </c>
      <c r="L36">
        <v>0.61</v>
      </c>
      <c r="M36">
        <v>0.1045</v>
      </c>
      <c r="N36">
        <v>13</v>
      </c>
      <c r="O36">
        <v>71</v>
      </c>
      <c r="P36">
        <v>84</v>
      </c>
    </row>
    <row r="37" spans="1:16" x14ac:dyDescent="0.3">
      <c r="A37">
        <v>655</v>
      </c>
      <c r="B37" s="1">
        <v>40573</v>
      </c>
      <c r="C37">
        <v>1</v>
      </c>
      <c r="D37">
        <v>0</v>
      </c>
      <c r="E37">
        <v>1</v>
      </c>
      <c r="F37">
        <v>14</v>
      </c>
      <c r="G37" t="b">
        <v>0</v>
      </c>
      <c r="H37">
        <v>0</v>
      </c>
      <c r="I37">
        <v>1</v>
      </c>
      <c r="J37">
        <v>0.28000000000000003</v>
      </c>
      <c r="K37">
        <v>0.30299999999999999</v>
      </c>
      <c r="L37">
        <v>0.61</v>
      </c>
      <c r="M37">
        <v>8.9599999999999999E-2</v>
      </c>
      <c r="N37">
        <v>18</v>
      </c>
      <c r="O37">
        <v>104</v>
      </c>
      <c r="P37">
        <v>122</v>
      </c>
    </row>
    <row r="38" spans="1:16" x14ac:dyDescent="0.3">
      <c r="A38">
        <v>656</v>
      </c>
      <c r="B38" s="1">
        <v>40573</v>
      </c>
      <c r="C38">
        <v>1</v>
      </c>
      <c r="D38">
        <v>0</v>
      </c>
      <c r="E38">
        <v>1</v>
      </c>
      <c r="F38">
        <v>15</v>
      </c>
      <c r="G38" t="b">
        <v>0</v>
      </c>
      <c r="H38">
        <v>0</v>
      </c>
      <c r="I38">
        <v>1</v>
      </c>
      <c r="J38">
        <v>0.3</v>
      </c>
      <c r="K38">
        <v>0.33329999999999999</v>
      </c>
      <c r="L38">
        <v>0.56000000000000005</v>
      </c>
      <c r="M38">
        <v>0</v>
      </c>
      <c r="N38">
        <v>14</v>
      </c>
      <c r="O38">
        <v>95</v>
      </c>
      <c r="P38">
        <v>109</v>
      </c>
    </row>
    <row r="39" spans="1:16" x14ac:dyDescent="0.3">
      <c r="A39">
        <v>657</v>
      </c>
      <c r="B39" s="1">
        <v>40573</v>
      </c>
      <c r="C39">
        <v>1</v>
      </c>
      <c r="D39">
        <v>0</v>
      </c>
      <c r="E39">
        <v>1</v>
      </c>
      <c r="F39">
        <v>16</v>
      </c>
      <c r="G39" t="b">
        <v>0</v>
      </c>
      <c r="H39">
        <v>0</v>
      </c>
      <c r="I39">
        <v>1</v>
      </c>
      <c r="J39">
        <v>0.3</v>
      </c>
      <c r="K39">
        <v>0.33329999999999999</v>
      </c>
      <c r="L39">
        <v>0.56000000000000005</v>
      </c>
      <c r="M39">
        <v>0</v>
      </c>
      <c r="N39">
        <v>19</v>
      </c>
      <c r="O39">
        <v>104</v>
      </c>
      <c r="P39">
        <v>123</v>
      </c>
    </row>
    <row r="40" spans="1:16" x14ac:dyDescent="0.3">
      <c r="A40">
        <v>658</v>
      </c>
      <c r="B40" s="1">
        <v>40573</v>
      </c>
      <c r="C40">
        <v>1</v>
      </c>
      <c r="D40">
        <v>0</v>
      </c>
      <c r="E40">
        <v>1</v>
      </c>
      <c r="F40">
        <v>17</v>
      </c>
      <c r="G40" t="b">
        <v>0</v>
      </c>
      <c r="H40">
        <v>0</v>
      </c>
      <c r="I40">
        <v>1</v>
      </c>
      <c r="J40">
        <v>0.3</v>
      </c>
      <c r="K40">
        <v>0.28789999999999999</v>
      </c>
      <c r="L40">
        <v>0.56000000000000005</v>
      </c>
      <c r="M40">
        <v>0.19400000000000001</v>
      </c>
      <c r="N40">
        <v>6</v>
      </c>
      <c r="O40">
        <v>71</v>
      </c>
      <c r="P40">
        <v>77</v>
      </c>
    </row>
    <row r="41" spans="1:16" x14ac:dyDescent="0.3">
      <c r="A41">
        <v>659</v>
      </c>
      <c r="B41" s="1">
        <v>40573</v>
      </c>
      <c r="C41">
        <v>1</v>
      </c>
      <c r="D41">
        <v>0</v>
      </c>
      <c r="E41">
        <v>1</v>
      </c>
      <c r="F41">
        <v>18</v>
      </c>
      <c r="G41" t="b">
        <v>0</v>
      </c>
      <c r="H41">
        <v>0</v>
      </c>
      <c r="I41">
        <v>1</v>
      </c>
      <c r="J41">
        <v>0.26</v>
      </c>
      <c r="K41">
        <v>0.2576</v>
      </c>
      <c r="L41">
        <v>0.65</v>
      </c>
      <c r="M41">
        <v>0.16420000000000001</v>
      </c>
      <c r="N41">
        <v>8</v>
      </c>
      <c r="O41">
        <v>57</v>
      </c>
      <c r="P41">
        <v>65</v>
      </c>
    </row>
    <row r="42" spans="1:16" x14ac:dyDescent="0.3">
      <c r="A42">
        <v>660</v>
      </c>
      <c r="B42" s="1">
        <v>40573</v>
      </c>
      <c r="C42">
        <v>1</v>
      </c>
      <c r="D42">
        <v>0</v>
      </c>
      <c r="E42">
        <v>1</v>
      </c>
      <c r="F42">
        <v>19</v>
      </c>
      <c r="G42" t="b">
        <v>0</v>
      </c>
      <c r="H42">
        <v>0</v>
      </c>
      <c r="I42">
        <v>1</v>
      </c>
      <c r="J42">
        <v>0.26</v>
      </c>
      <c r="K42">
        <v>0.2576</v>
      </c>
      <c r="L42">
        <v>0.65</v>
      </c>
      <c r="M42">
        <v>0.19400000000000001</v>
      </c>
      <c r="N42">
        <v>9</v>
      </c>
      <c r="O42">
        <v>46</v>
      </c>
      <c r="P42">
        <v>55</v>
      </c>
    </row>
    <row r="43" spans="1:16" x14ac:dyDescent="0.3">
      <c r="A43">
        <v>661</v>
      </c>
      <c r="B43" s="1">
        <v>40573</v>
      </c>
      <c r="C43">
        <v>1</v>
      </c>
      <c r="D43">
        <v>0</v>
      </c>
      <c r="E43">
        <v>1</v>
      </c>
      <c r="F43">
        <v>20</v>
      </c>
      <c r="G43" t="b">
        <v>0</v>
      </c>
      <c r="H43">
        <v>0</v>
      </c>
      <c r="I43">
        <v>2</v>
      </c>
      <c r="J43">
        <v>0.26</v>
      </c>
      <c r="K43">
        <v>0.2727</v>
      </c>
      <c r="L43">
        <v>0.65</v>
      </c>
      <c r="M43">
        <v>0.1045</v>
      </c>
      <c r="N43">
        <v>3</v>
      </c>
      <c r="O43">
        <v>30</v>
      </c>
      <c r="P43">
        <v>33</v>
      </c>
    </row>
    <row r="44" spans="1:16" x14ac:dyDescent="0.3">
      <c r="A44">
        <v>662</v>
      </c>
      <c r="B44" s="1">
        <v>40573</v>
      </c>
      <c r="C44">
        <v>1</v>
      </c>
      <c r="D44">
        <v>0</v>
      </c>
      <c r="E44">
        <v>1</v>
      </c>
      <c r="F44">
        <v>21</v>
      </c>
      <c r="G44" t="b">
        <v>0</v>
      </c>
      <c r="H44">
        <v>0</v>
      </c>
      <c r="I44">
        <v>2</v>
      </c>
      <c r="J44">
        <v>0.24</v>
      </c>
      <c r="K44">
        <v>0.2424</v>
      </c>
      <c r="L44">
        <v>0.7</v>
      </c>
      <c r="M44">
        <v>0.16420000000000001</v>
      </c>
      <c r="N44">
        <v>3</v>
      </c>
      <c r="O44">
        <v>25</v>
      </c>
      <c r="P44">
        <v>28</v>
      </c>
    </row>
    <row r="45" spans="1:16" x14ac:dyDescent="0.3">
      <c r="A45">
        <v>663</v>
      </c>
      <c r="B45" s="1">
        <v>40573</v>
      </c>
      <c r="C45">
        <v>1</v>
      </c>
      <c r="D45">
        <v>0</v>
      </c>
      <c r="E45">
        <v>1</v>
      </c>
      <c r="F45">
        <v>22</v>
      </c>
      <c r="G45" t="b">
        <v>0</v>
      </c>
      <c r="H45">
        <v>0</v>
      </c>
      <c r="I45">
        <v>2</v>
      </c>
      <c r="J45">
        <v>0.24</v>
      </c>
      <c r="K45">
        <v>0.2273</v>
      </c>
      <c r="L45">
        <v>0.7</v>
      </c>
      <c r="M45">
        <v>0.19400000000000001</v>
      </c>
      <c r="N45">
        <v>2</v>
      </c>
      <c r="O45">
        <v>19</v>
      </c>
      <c r="P45">
        <v>21</v>
      </c>
    </row>
    <row r="46" spans="1:16" x14ac:dyDescent="0.3">
      <c r="A46">
        <v>664</v>
      </c>
      <c r="B46" s="1">
        <v>40573</v>
      </c>
      <c r="C46">
        <v>1</v>
      </c>
      <c r="D46">
        <v>0</v>
      </c>
      <c r="E46">
        <v>1</v>
      </c>
      <c r="F46">
        <v>23</v>
      </c>
      <c r="G46" t="b">
        <v>0</v>
      </c>
      <c r="H46">
        <v>0</v>
      </c>
      <c r="I46">
        <v>2</v>
      </c>
      <c r="J46">
        <v>0.24</v>
      </c>
      <c r="K46">
        <v>0.21210000000000001</v>
      </c>
      <c r="L46">
        <v>0.65</v>
      </c>
      <c r="M46">
        <v>0.28360000000000002</v>
      </c>
      <c r="N46">
        <v>5</v>
      </c>
      <c r="O46">
        <v>16</v>
      </c>
      <c r="P46">
        <v>21</v>
      </c>
    </row>
    <row r="47" spans="1:16" x14ac:dyDescent="0.3">
      <c r="A47">
        <v>665</v>
      </c>
      <c r="B47" s="1">
        <v>40574</v>
      </c>
      <c r="C47">
        <v>1</v>
      </c>
      <c r="D47">
        <v>0</v>
      </c>
      <c r="E47">
        <v>1</v>
      </c>
      <c r="F47">
        <v>0</v>
      </c>
      <c r="G47" t="b">
        <v>0</v>
      </c>
      <c r="H47">
        <v>1</v>
      </c>
      <c r="I47">
        <v>2</v>
      </c>
      <c r="J47">
        <v>0.24</v>
      </c>
      <c r="K47">
        <v>0.2273</v>
      </c>
      <c r="L47">
        <v>0.65</v>
      </c>
      <c r="M47">
        <v>0.22389999999999999</v>
      </c>
      <c r="N47">
        <v>1</v>
      </c>
      <c r="O47">
        <v>6</v>
      </c>
      <c r="P47">
        <v>7</v>
      </c>
    </row>
    <row r="48" spans="1:16" x14ac:dyDescent="0.3">
      <c r="A48">
        <v>666</v>
      </c>
      <c r="B48" s="1">
        <v>40574</v>
      </c>
      <c r="C48">
        <v>1</v>
      </c>
      <c r="D48">
        <v>0</v>
      </c>
      <c r="E48">
        <v>1</v>
      </c>
      <c r="F48">
        <v>1</v>
      </c>
      <c r="G48" t="b">
        <v>0</v>
      </c>
      <c r="H48">
        <v>1</v>
      </c>
      <c r="I48">
        <v>1</v>
      </c>
      <c r="J48">
        <v>0.22</v>
      </c>
      <c r="K48">
        <v>0.21210000000000001</v>
      </c>
      <c r="L48">
        <v>0.64</v>
      </c>
      <c r="M48">
        <v>0.25369999999999998</v>
      </c>
      <c r="N48">
        <v>2</v>
      </c>
      <c r="O48">
        <v>5</v>
      </c>
      <c r="P48">
        <v>7</v>
      </c>
    </row>
    <row r="49" spans="1:16" x14ac:dyDescent="0.3">
      <c r="A49">
        <v>667</v>
      </c>
      <c r="B49" s="1">
        <v>40574</v>
      </c>
      <c r="C49">
        <v>1</v>
      </c>
      <c r="D49">
        <v>0</v>
      </c>
      <c r="E49">
        <v>1</v>
      </c>
      <c r="F49">
        <v>2</v>
      </c>
      <c r="G49" t="b">
        <v>0</v>
      </c>
      <c r="H49">
        <v>1</v>
      </c>
      <c r="I49">
        <v>1</v>
      </c>
      <c r="J49">
        <v>0.22</v>
      </c>
      <c r="K49">
        <v>0.2273</v>
      </c>
      <c r="L49">
        <v>0.64</v>
      </c>
      <c r="M49">
        <v>0.19400000000000001</v>
      </c>
      <c r="N49">
        <v>0</v>
      </c>
      <c r="O49">
        <v>1</v>
      </c>
      <c r="P49">
        <v>1</v>
      </c>
    </row>
    <row r="50" spans="1:16" x14ac:dyDescent="0.3">
      <c r="A50">
        <v>668</v>
      </c>
      <c r="B50" s="1">
        <v>40574</v>
      </c>
      <c r="C50">
        <v>1</v>
      </c>
      <c r="D50">
        <v>0</v>
      </c>
      <c r="E50">
        <v>1</v>
      </c>
      <c r="F50">
        <v>3</v>
      </c>
      <c r="G50" t="b">
        <v>0</v>
      </c>
      <c r="H50">
        <v>1</v>
      </c>
      <c r="I50">
        <v>1</v>
      </c>
      <c r="J50">
        <v>0.22</v>
      </c>
      <c r="K50">
        <v>0.2273</v>
      </c>
      <c r="L50">
        <v>0.64</v>
      </c>
      <c r="M50">
        <v>0.19400000000000001</v>
      </c>
      <c r="N50">
        <v>0</v>
      </c>
      <c r="O50">
        <v>2</v>
      </c>
      <c r="P50">
        <v>2</v>
      </c>
    </row>
    <row r="51" spans="1:16" x14ac:dyDescent="0.3">
      <c r="A51">
        <v>669</v>
      </c>
      <c r="B51" s="1">
        <v>40574</v>
      </c>
      <c r="C51">
        <v>1</v>
      </c>
      <c r="D51">
        <v>0</v>
      </c>
      <c r="E51">
        <v>1</v>
      </c>
      <c r="F51">
        <v>4</v>
      </c>
      <c r="G51" t="b">
        <v>0</v>
      </c>
      <c r="H51">
        <v>1</v>
      </c>
      <c r="I51">
        <v>1</v>
      </c>
      <c r="J51">
        <v>0.2</v>
      </c>
      <c r="K51">
        <v>0.19700000000000001</v>
      </c>
      <c r="L51">
        <v>0.59</v>
      </c>
      <c r="M51">
        <v>0.22389999999999999</v>
      </c>
      <c r="N51">
        <v>0</v>
      </c>
      <c r="O51">
        <v>2</v>
      </c>
      <c r="P51">
        <v>2</v>
      </c>
    </row>
    <row r="52" spans="1:16" x14ac:dyDescent="0.3">
      <c r="A52">
        <v>670</v>
      </c>
      <c r="B52" s="1">
        <v>40574</v>
      </c>
      <c r="C52">
        <v>1</v>
      </c>
      <c r="D52">
        <v>0</v>
      </c>
      <c r="E52">
        <v>1</v>
      </c>
      <c r="F52">
        <v>5</v>
      </c>
      <c r="G52" t="b">
        <v>0</v>
      </c>
      <c r="H52">
        <v>1</v>
      </c>
      <c r="I52">
        <v>1</v>
      </c>
      <c r="J52">
        <v>0.18</v>
      </c>
      <c r="K52">
        <v>0.16669999999999999</v>
      </c>
      <c r="L52">
        <v>0.64</v>
      </c>
      <c r="M52">
        <v>0.28360000000000002</v>
      </c>
      <c r="N52">
        <v>0</v>
      </c>
      <c r="O52">
        <v>8</v>
      </c>
      <c r="P52">
        <v>8</v>
      </c>
    </row>
    <row r="53" spans="1:16" x14ac:dyDescent="0.3">
      <c r="A53">
        <v>671</v>
      </c>
      <c r="B53" s="1">
        <v>40574</v>
      </c>
      <c r="C53">
        <v>1</v>
      </c>
      <c r="D53">
        <v>0</v>
      </c>
      <c r="E53">
        <v>1</v>
      </c>
      <c r="F53">
        <v>6</v>
      </c>
      <c r="G53" t="b">
        <v>0</v>
      </c>
      <c r="H53">
        <v>1</v>
      </c>
      <c r="I53">
        <v>1</v>
      </c>
      <c r="J53">
        <v>0.16</v>
      </c>
      <c r="K53">
        <v>0.13639999999999999</v>
      </c>
      <c r="L53">
        <v>0.69</v>
      </c>
      <c r="M53">
        <v>0.32840000000000003</v>
      </c>
      <c r="N53">
        <v>0</v>
      </c>
      <c r="O53">
        <v>37</v>
      </c>
      <c r="P53">
        <v>37</v>
      </c>
    </row>
    <row r="54" spans="1:16" x14ac:dyDescent="0.3">
      <c r="A54">
        <v>672</v>
      </c>
      <c r="B54" s="1">
        <v>40574</v>
      </c>
      <c r="C54">
        <v>1</v>
      </c>
      <c r="D54">
        <v>0</v>
      </c>
      <c r="E54">
        <v>1</v>
      </c>
      <c r="F54">
        <v>7</v>
      </c>
      <c r="G54" t="b">
        <v>0</v>
      </c>
      <c r="H54">
        <v>1</v>
      </c>
      <c r="I54">
        <v>2</v>
      </c>
      <c r="J54">
        <v>0.16</v>
      </c>
      <c r="K54">
        <v>0.13639999999999999</v>
      </c>
      <c r="L54">
        <v>0.64</v>
      </c>
      <c r="M54">
        <v>0.28360000000000002</v>
      </c>
      <c r="N54">
        <v>1</v>
      </c>
      <c r="O54">
        <v>71</v>
      </c>
      <c r="P54">
        <v>72</v>
      </c>
    </row>
    <row r="55" spans="1:16" x14ac:dyDescent="0.3">
      <c r="A55">
        <v>673</v>
      </c>
      <c r="B55" s="1">
        <v>40574</v>
      </c>
      <c r="C55">
        <v>1</v>
      </c>
      <c r="D55">
        <v>0</v>
      </c>
      <c r="E55">
        <v>1</v>
      </c>
      <c r="F55">
        <v>8</v>
      </c>
      <c r="G55" t="b">
        <v>0</v>
      </c>
      <c r="H55">
        <v>1</v>
      </c>
      <c r="I55">
        <v>2</v>
      </c>
      <c r="J55">
        <v>0.16</v>
      </c>
      <c r="K55">
        <v>0.13639999999999999</v>
      </c>
      <c r="L55">
        <v>0.59</v>
      </c>
      <c r="M55">
        <v>0.28360000000000002</v>
      </c>
      <c r="N55">
        <v>3</v>
      </c>
      <c r="O55">
        <v>182</v>
      </c>
      <c r="P55">
        <v>185</v>
      </c>
    </row>
    <row r="56" spans="1:16" x14ac:dyDescent="0.3">
      <c r="A56">
        <v>674</v>
      </c>
      <c r="B56" s="1">
        <v>40574</v>
      </c>
      <c r="C56">
        <v>1</v>
      </c>
      <c r="D56">
        <v>0</v>
      </c>
      <c r="E56">
        <v>1</v>
      </c>
      <c r="F56">
        <v>9</v>
      </c>
      <c r="G56" t="b">
        <v>0</v>
      </c>
      <c r="H56">
        <v>1</v>
      </c>
      <c r="I56">
        <v>2</v>
      </c>
      <c r="J56">
        <v>0.16</v>
      </c>
      <c r="K56">
        <v>0.13639999999999999</v>
      </c>
      <c r="L56">
        <v>0.59</v>
      </c>
      <c r="M56">
        <v>0.29849999999999999</v>
      </c>
      <c r="N56">
        <v>0</v>
      </c>
      <c r="O56">
        <v>112</v>
      </c>
      <c r="P56">
        <v>112</v>
      </c>
    </row>
    <row r="57" spans="1:16" x14ac:dyDescent="0.3">
      <c r="A57">
        <v>675</v>
      </c>
      <c r="B57" s="1">
        <v>40574</v>
      </c>
      <c r="C57">
        <v>1</v>
      </c>
      <c r="D57">
        <v>0</v>
      </c>
      <c r="E57">
        <v>1</v>
      </c>
      <c r="F57">
        <v>10</v>
      </c>
      <c r="G57" t="b">
        <v>0</v>
      </c>
      <c r="H57">
        <v>1</v>
      </c>
      <c r="I57">
        <v>2</v>
      </c>
      <c r="J57">
        <v>0.16</v>
      </c>
      <c r="K57">
        <v>0.1515</v>
      </c>
      <c r="L57">
        <v>0.59</v>
      </c>
      <c r="M57">
        <v>0.19400000000000001</v>
      </c>
      <c r="N57">
        <v>1</v>
      </c>
      <c r="O57">
        <v>68</v>
      </c>
      <c r="P57">
        <v>69</v>
      </c>
    </row>
    <row r="58" spans="1:16" x14ac:dyDescent="0.3">
      <c r="A58">
        <v>676</v>
      </c>
      <c r="B58" s="1">
        <v>40574</v>
      </c>
      <c r="C58">
        <v>1</v>
      </c>
      <c r="D58">
        <v>0</v>
      </c>
      <c r="E58">
        <v>1</v>
      </c>
      <c r="F58">
        <v>11</v>
      </c>
      <c r="G58" t="b">
        <v>0</v>
      </c>
      <c r="H58">
        <v>1</v>
      </c>
      <c r="I58">
        <v>2</v>
      </c>
      <c r="J58">
        <v>0.16</v>
      </c>
      <c r="K58">
        <v>0.1515</v>
      </c>
      <c r="L58">
        <v>0.59</v>
      </c>
      <c r="M58">
        <v>0.19400000000000001</v>
      </c>
      <c r="N58">
        <v>2</v>
      </c>
      <c r="O58">
        <v>46</v>
      </c>
      <c r="P58">
        <v>48</v>
      </c>
    </row>
    <row r="59" spans="1:16" x14ac:dyDescent="0.3">
      <c r="A59">
        <v>677</v>
      </c>
      <c r="B59" s="1">
        <v>40574</v>
      </c>
      <c r="C59">
        <v>1</v>
      </c>
      <c r="D59">
        <v>0</v>
      </c>
      <c r="E59">
        <v>1</v>
      </c>
      <c r="F59">
        <v>12</v>
      </c>
      <c r="G59" t="b">
        <v>0</v>
      </c>
      <c r="H59">
        <v>1</v>
      </c>
      <c r="I59">
        <v>2</v>
      </c>
      <c r="J59">
        <v>0.18</v>
      </c>
      <c r="K59">
        <v>0.21210000000000001</v>
      </c>
      <c r="L59">
        <v>0.55000000000000004</v>
      </c>
      <c r="M59">
        <v>0.1045</v>
      </c>
      <c r="N59">
        <v>6</v>
      </c>
      <c r="O59">
        <v>62</v>
      </c>
      <c r="P59">
        <v>68</v>
      </c>
    </row>
    <row r="60" spans="1:16" x14ac:dyDescent="0.3">
      <c r="A60">
        <v>678</v>
      </c>
      <c r="B60" s="1">
        <v>40574</v>
      </c>
      <c r="C60">
        <v>1</v>
      </c>
      <c r="D60">
        <v>0</v>
      </c>
      <c r="E60">
        <v>1</v>
      </c>
      <c r="F60">
        <v>13</v>
      </c>
      <c r="G60" t="b">
        <v>0</v>
      </c>
      <c r="H60">
        <v>1</v>
      </c>
      <c r="I60">
        <v>2</v>
      </c>
      <c r="J60">
        <v>0.16</v>
      </c>
      <c r="K60">
        <v>0.2273</v>
      </c>
      <c r="L60">
        <v>0.59</v>
      </c>
      <c r="M60">
        <v>0</v>
      </c>
      <c r="N60">
        <v>2</v>
      </c>
      <c r="O60">
        <v>52</v>
      </c>
      <c r="P60">
        <v>54</v>
      </c>
    </row>
    <row r="61" spans="1:16" x14ac:dyDescent="0.3">
      <c r="A61">
        <v>679</v>
      </c>
      <c r="B61" s="1">
        <v>40574</v>
      </c>
      <c r="C61">
        <v>1</v>
      </c>
      <c r="D61">
        <v>0</v>
      </c>
      <c r="E61">
        <v>1</v>
      </c>
      <c r="F61">
        <v>14</v>
      </c>
      <c r="G61" t="b">
        <v>0</v>
      </c>
      <c r="H61">
        <v>1</v>
      </c>
      <c r="I61">
        <v>2</v>
      </c>
      <c r="J61">
        <v>0.18</v>
      </c>
      <c r="K61">
        <v>0.19700000000000001</v>
      </c>
      <c r="L61">
        <v>0.55000000000000004</v>
      </c>
      <c r="M61">
        <v>0.1343</v>
      </c>
      <c r="N61">
        <v>1</v>
      </c>
      <c r="O61">
        <v>85</v>
      </c>
      <c r="P61">
        <v>86</v>
      </c>
    </row>
    <row r="62" spans="1:16" x14ac:dyDescent="0.3">
      <c r="A62">
        <v>680</v>
      </c>
      <c r="B62" s="1">
        <v>40574</v>
      </c>
      <c r="C62">
        <v>1</v>
      </c>
      <c r="D62">
        <v>0</v>
      </c>
      <c r="E62">
        <v>1</v>
      </c>
      <c r="F62">
        <v>15</v>
      </c>
      <c r="G62" t="b">
        <v>0</v>
      </c>
      <c r="H62">
        <v>1</v>
      </c>
      <c r="I62">
        <v>2</v>
      </c>
      <c r="J62">
        <v>0.16</v>
      </c>
      <c r="K62">
        <v>0.18179999999999999</v>
      </c>
      <c r="L62">
        <v>0.59</v>
      </c>
      <c r="M62">
        <v>0.1343</v>
      </c>
      <c r="N62">
        <v>3</v>
      </c>
      <c r="O62">
        <v>41</v>
      </c>
      <c r="P62">
        <v>44</v>
      </c>
    </row>
    <row r="63" spans="1:16" x14ac:dyDescent="0.3">
      <c r="A63">
        <v>681</v>
      </c>
      <c r="B63" s="1">
        <v>40574</v>
      </c>
      <c r="C63">
        <v>1</v>
      </c>
      <c r="D63">
        <v>0</v>
      </c>
      <c r="E63">
        <v>1</v>
      </c>
      <c r="F63">
        <v>16</v>
      </c>
      <c r="G63" t="b">
        <v>0</v>
      </c>
      <c r="H63">
        <v>1</v>
      </c>
      <c r="I63">
        <v>2</v>
      </c>
      <c r="J63">
        <v>0.16</v>
      </c>
      <c r="K63">
        <v>0.18179999999999999</v>
      </c>
      <c r="L63">
        <v>0.56000000000000005</v>
      </c>
      <c r="M63">
        <v>0.19400000000000001</v>
      </c>
      <c r="N63">
        <v>3</v>
      </c>
      <c r="O63">
        <v>83</v>
      </c>
      <c r="P63">
        <v>86</v>
      </c>
    </row>
    <row r="64" spans="1:16" x14ac:dyDescent="0.3">
      <c r="A64">
        <v>682</v>
      </c>
      <c r="B64" s="1">
        <v>40574</v>
      </c>
      <c r="C64">
        <v>1</v>
      </c>
      <c r="D64">
        <v>0</v>
      </c>
      <c r="E64">
        <v>1</v>
      </c>
      <c r="F64">
        <v>17</v>
      </c>
      <c r="G64" t="b">
        <v>0</v>
      </c>
      <c r="H64">
        <v>1</v>
      </c>
      <c r="I64">
        <v>2</v>
      </c>
      <c r="J64">
        <v>0.16</v>
      </c>
      <c r="K64">
        <v>0.1515</v>
      </c>
      <c r="L64">
        <v>0.59</v>
      </c>
      <c r="M64">
        <v>0.19400000000000001</v>
      </c>
      <c r="N64">
        <v>6</v>
      </c>
      <c r="O64">
        <v>155</v>
      </c>
      <c r="P64">
        <v>161</v>
      </c>
    </row>
    <row r="65" spans="1:16" x14ac:dyDescent="0.3">
      <c r="A65">
        <v>683</v>
      </c>
      <c r="B65" s="1">
        <v>40574</v>
      </c>
      <c r="C65">
        <v>1</v>
      </c>
      <c r="D65">
        <v>0</v>
      </c>
      <c r="E65">
        <v>1</v>
      </c>
      <c r="F65">
        <v>18</v>
      </c>
      <c r="G65" t="b">
        <v>0</v>
      </c>
      <c r="H65">
        <v>1</v>
      </c>
      <c r="I65">
        <v>2</v>
      </c>
      <c r="J65">
        <v>0.16</v>
      </c>
      <c r="K65">
        <v>0.1515</v>
      </c>
      <c r="L65">
        <v>0.55000000000000004</v>
      </c>
      <c r="M65">
        <v>0.22389999999999999</v>
      </c>
      <c r="N65">
        <v>3</v>
      </c>
      <c r="O65">
        <v>153</v>
      </c>
      <c r="P65">
        <v>156</v>
      </c>
    </row>
    <row r="66" spans="1:16" x14ac:dyDescent="0.3">
      <c r="A66">
        <v>684</v>
      </c>
      <c r="B66" s="1">
        <v>40574</v>
      </c>
      <c r="C66">
        <v>1</v>
      </c>
      <c r="D66">
        <v>0</v>
      </c>
      <c r="E66">
        <v>1</v>
      </c>
      <c r="F66">
        <v>19</v>
      </c>
      <c r="G66" t="b">
        <v>0</v>
      </c>
      <c r="H66">
        <v>1</v>
      </c>
      <c r="I66">
        <v>1</v>
      </c>
      <c r="J66">
        <v>0.3</v>
      </c>
      <c r="K66">
        <v>0.31819999999999998</v>
      </c>
      <c r="L66">
        <v>0.61</v>
      </c>
      <c r="M66">
        <v>0.1045</v>
      </c>
      <c r="N66">
        <v>3</v>
      </c>
      <c r="O66">
        <v>108</v>
      </c>
      <c r="P66">
        <v>111</v>
      </c>
    </row>
    <row r="67" spans="1:16" x14ac:dyDescent="0.3">
      <c r="A67">
        <v>685</v>
      </c>
      <c r="B67" s="1">
        <v>40574</v>
      </c>
      <c r="C67">
        <v>1</v>
      </c>
      <c r="D67">
        <v>0</v>
      </c>
      <c r="E67">
        <v>1</v>
      </c>
      <c r="F67">
        <v>20</v>
      </c>
      <c r="G67" t="b">
        <v>0</v>
      </c>
      <c r="H67">
        <v>1</v>
      </c>
      <c r="I67">
        <v>3</v>
      </c>
      <c r="J67">
        <v>0.16</v>
      </c>
      <c r="K67">
        <v>0.16669999999999999</v>
      </c>
      <c r="L67">
        <v>0.59</v>
      </c>
      <c r="M67">
        <v>0.16420000000000001</v>
      </c>
      <c r="N67">
        <v>0</v>
      </c>
      <c r="O67">
        <v>78</v>
      </c>
      <c r="P67">
        <v>78</v>
      </c>
    </row>
    <row r="68" spans="1:16" x14ac:dyDescent="0.3">
      <c r="A68">
        <v>686</v>
      </c>
      <c r="B68" s="1">
        <v>40574</v>
      </c>
      <c r="C68">
        <v>1</v>
      </c>
      <c r="D68">
        <v>0</v>
      </c>
      <c r="E68">
        <v>1</v>
      </c>
      <c r="F68">
        <v>21</v>
      </c>
      <c r="G68" t="b">
        <v>0</v>
      </c>
      <c r="H68">
        <v>1</v>
      </c>
      <c r="I68">
        <v>3</v>
      </c>
      <c r="J68">
        <v>0.16</v>
      </c>
      <c r="K68">
        <v>0.19700000000000001</v>
      </c>
      <c r="L68">
        <v>0.59</v>
      </c>
      <c r="M68">
        <v>8.9599999999999999E-2</v>
      </c>
      <c r="N68">
        <v>3</v>
      </c>
      <c r="O68">
        <v>53</v>
      </c>
      <c r="P68">
        <v>56</v>
      </c>
    </row>
    <row r="69" spans="1:16" x14ac:dyDescent="0.3">
      <c r="A69">
        <v>687</v>
      </c>
      <c r="B69" s="1">
        <v>40574</v>
      </c>
      <c r="C69">
        <v>1</v>
      </c>
      <c r="D69">
        <v>0</v>
      </c>
      <c r="E69">
        <v>1</v>
      </c>
      <c r="F69">
        <v>22</v>
      </c>
      <c r="G69" t="b">
        <v>0</v>
      </c>
      <c r="H69">
        <v>1</v>
      </c>
      <c r="I69">
        <v>2</v>
      </c>
      <c r="J69">
        <v>0.16</v>
      </c>
      <c r="K69">
        <v>0.18179999999999999</v>
      </c>
      <c r="L69">
        <v>0.59</v>
      </c>
      <c r="M69">
        <v>0.1045</v>
      </c>
      <c r="N69">
        <v>0</v>
      </c>
      <c r="O69">
        <v>34</v>
      </c>
      <c r="P69">
        <v>34</v>
      </c>
    </row>
    <row r="70" spans="1:16" x14ac:dyDescent="0.3">
      <c r="A70">
        <v>688</v>
      </c>
      <c r="B70" s="1">
        <v>40574</v>
      </c>
      <c r="C70">
        <v>1</v>
      </c>
      <c r="D70">
        <v>0</v>
      </c>
      <c r="E70">
        <v>1</v>
      </c>
      <c r="F70">
        <v>23</v>
      </c>
      <c r="G70" t="b">
        <v>0</v>
      </c>
      <c r="H70">
        <v>1</v>
      </c>
      <c r="I70">
        <v>2</v>
      </c>
      <c r="J70">
        <v>0.16</v>
      </c>
      <c r="K70">
        <v>0.19700000000000001</v>
      </c>
      <c r="L70">
        <v>0.64</v>
      </c>
      <c r="M70">
        <v>8.9599999999999999E-2</v>
      </c>
      <c r="N70">
        <v>2</v>
      </c>
      <c r="O70">
        <v>15</v>
      </c>
      <c r="P70">
        <v>17</v>
      </c>
    </row>
    <row r="71" spans="1:16" x14ac:dyDescent="0.3">
      <c r="A71">
        <v>689</v>
      </c>
      <c r="B71" s="1">
        <v>40575</v>
      </c>
      <c r="C71">
        <v>1</v>
      </c>
      <c r="D71">
        <v>0</v>
      </c>
      <c r="E71">
        <v>2</v>
      </c>
      <c r="F71">
        <v>0</v>
      </c>
      <c r="G71" t="b">
        <v>0</v>
      </c>
      <c r="H71">
        <v>2</v>
      </c>
      <c r="I71">
        <v>2</v>
      </c>
      <c r="J71">
        <v>0.16</v>
      </c>
      <c r="K71">
        <v>0.18179999999999999</v>
      </c>
      <c r="L71">
        <v>0.64</v>
      </c>
      <c r="M71">
        <v>0.1045</v>
      </c>
      <c r="N71">
        <v>2</v>
      </c>
      <c r="O71">
        <v>6</v>
      </c>
      <c r="P71">
        <v>8</v>
      </c>
    </row>
    <row r="72" spans="1:16" x14ac:dyDescent="0.3">
      <c r="A72">
        <v>690</v>
      </c>
      <c r="B72" s="1">
        <v>40575</v>
      </c>
      <c r="C72">
        <v>1</v>
      </c>
      <c r="D72">
        <v>0</v>
      </c>
      <c r="E72">
        <v>2</v>
      </c>
      <c r="F72">
        <v>1</v>
      </c>
      <c r="G72" t="b">
        <v>0</v>
      </c>
      <c r="H72">
        <v>2</v>
      </c>
      <c r="I72">
        <v>2</v>
      </c>
      <c r="J72">
        <v>0.16</v>
      </c>
      <c r="K72">
        <v>0.18179999999999999</v>
      </c>
      <c r="L72">
        <v>0.69</v>
      </c>
      <c r="M72">
        <v>0.1045</v>
      </c>
      <c r="N72">
        <v>0</v>
      </c>
      <c r="O72">
        <v>3</v>
      </c>
      <c r="P72">
        <v>3</v>
      </c>
    </row>
    <row r="73" spans="1:16" x14ac:dyDescent="0.3">
      <c r="A73">
        <v>691</v>
      </c>
      <c r="B73" s="1">
        <v>40575</v>
      </c>
      <c r="C73">
        <v>1</v>
      </c>
      <c r="D73">
        <v>0</v>
      </c>
      <c r="E73">
        <v>2</v>
      </c>
      <c r="F73">
        <v>2</v>
      </c>
      <c r="G73" t="b">
        <v>0</v>
      </c>
      <c r="H73">
        <v>2</v>
      </c>
      <c r="I73">
        <v>2</v>
      </c>
      <c r="J73">
        <v>0.16</v>
      </c>
      <c r="K73">
        <v>0.2273</v>
      </c>
      <c r="L73">
        <v>0.69</v>
      </c>
      <c r="M73">
        <v>0</v>
      </c>
      <c r="N73">
        <v>0</v>
      </c>
      <c r="O73">
        <v>2</v>
      </c>
      <c r="P73">
        <v>2</v>
      </c>
    </row>
    <row r="74" spans="1:16" x14ac:dyDescent="0.3">
      <c r="A74">
        <v>692</v>
      </c>
      <c r="B74" s="1">
        <v>40575</v>
      </c>
      <c r="C74">
        <v>1</v>
      </c>
      <c r="D74">
        <v>0</v>
      </c>
      <c r="E74">
        <v>2</v>
      </c>
      <c r="F74">
        <v>3</v>
      </c>
      <c r="G74" t="b">
        <v>0</v>
      </c>
      <c r="H74">
        <v>2</v>
      </c>
      <c r="I74">
        <v>2</v>
      </c>
      <c r="J74">
        <v>0.16</v>
      </c>
      <c r="K74">
        <v>0.2273</v>
      </c>
      <c r="L74">
        <v>0.69</v>
      </c>
      <c r="M74">
        <v>0</v>
      </c>
      <c r="N74">
        <v>0</v>
      </c>
      <c r="O74">
        <v>2</v>
      </c>
      <c r="P74">
        <v>2</v>
      </c>
    </row>
    <row r="75" spans="1:16" x14ac:dyDescent="0.3">
      <c r="A75">
        <v>693</v>
      </c>
      <c r="B75" s="1">
        <v>40575</v>
      </c>
      <c r="C75">
        <v>1</v>
      </c>
      <c r="D75">
        <v>0</v>
      </c>
      <c r="E75">
        <v>2</v>
      </c>
      <c r="F75">
        <v>5</v>
      </c>
      <c r="G75" t="b">
        <v>0</v>
      </c>
      <c r="H75">
        <v>2</v>
      </c>
      <c r="I75">
        <v>3</v>
      </c>
      <c r="J75">
        <v>0.14000000000000001</v>
      </c>
      <c r="K75">
        <v>0.21210000000000001</v>
      </c>
      <c r="L75">
        <v>0.93</v>
      </c>
      <c r="M75">
        <v>0</v>
      </c>
      <c r="N75">
        <v>0</v>
      </c>
      <c r="O75">
        <v>3</v>
      </c>
      <c r="P75">
        <v>3</v>
      </c>
    </row>
    <row r="76" spans="1:16" x14ac:dyDescent="0.3">
      <c r="A76">
        <v>694</v>
      </c>
      <c r="B76" s="1">
        <v>40575</v>
      </c>
      <c r="C76">
        <v>1</v>
      </c>
      <c r="D76">
        <v>0</v>
      </c>
      <c r="E76">
        <v>2</v>
      </c>
      <c r="F76">
        <v>6</v>
      </c>
      <c r="G76" t="b">
        <v>0</v>
      </c>
      <c r="H76">
        <v>2</v>
      </c>
      <c r="I76">
        <v>3</v>
      </c>
      <c r="J76">
        <v>0.14000000000000001</v>
      </c>
      <c r="K76">
        <v>0.21210000000000001</v>
      </c>
      <c r="L76">
        <v>0.93</v>
      </c>
      <c r="M76">
        <v>0</v>
      </c>
      <c r="N76">
        <v>0</v>
      </c>
      <c r="O76">
        <v>22</v>
      </c>
      <c r="P76">
        <v>22</v>
      </c>
    </row>
    <row r="77" spans="1:16" x14ac:dyDescent="0.3">
      <c r="A77">
        <v>695</v>
      </c>
      <c r="B77" s="1">
        <v>40575</v>
      </c>
      <c r="C77">
        <v>1</v>
      </c>
      <c r="D77">
        <v>0</v>
      </c>
      <c r="E77">
        <v>2</v>
      </c>
      <c r="F77">
        <v>7</v>
      </c>
      <c r="G77" t="b">
        <v>0</v>
      </c>
      <c r="H77">
        <v>2</v>
      </c>
      <c r="I77">
        <v>3</v>
      </c>
      <c r="J77">
        <v>0.16</v>
      </c>
      <c r="K77">
        <v>0.2273</v>
      </c>
      <c r="L77">
        <v>0.93</v>
      </c>
      <c r="M77">
        <v>0</v>
      </c>
      <c r="N77">
        <v>0</v>
      </c>
      <c r="O77">
        <v>52</v>
      </c>
      <c r="P77">
        <v>52</v>
      </c>
    </row>
    <row r="78" spans="1:16" x14ac:dyDescent="0.3">
      <c r="A78">
        <v>696</v>
      </c>
      <c r="B78" s="1">
        <v>40575</v>
      </c>
      <c r="C78">
        <v>1</v>
      </c>
      <c r="D78">
        <v>0</v>
      </c>
      <c r="E78">
        <v>2</v>
      </c>
      <c r="F78">
        <v>8</v>
      </c>
      <c r="G78" t="b">
        <v>0</v>
      </c>
      <c r="H78">
        <v>2</v>
      </c>
      <c r="I78">
        <v>3</v>
      </c>
      <c r="J78">
        <v>0.16</v>
      </c>
      <c r="K78">
        <v>0.2273</v>
      </c>
      <c r="L78">
        <v>0.93</v>
      </c>
      <c r="M78">
        <v>0</v>
      </c>
      <c r="N78">
        <v>3</v>
      </c>
      <c r="O78">
        <v>132</v>
      </c>
      <c r="P78">
        <v>135</v>
      </c>
    </row>
    <row r="79" spans="1:16" x14ac:dyDescent="0.3">
      <c r="A79">
        <v>697</v>
      </c>
      <c r="B79" s="1">
        <v>40575</v>
      </c>
      <c r="C79">
        <v>1</v>
      </c>
      <c r="D79">
        <v>0</v>
      </c>
      <c r="E79">
        <v>2</v>
      </c>
      <c r="F79">
        <v>9</v>
      </c>
      <c r="G79" t="b">
        <v>0</v>
      </c>
      <c r="H79">
        <v>2</v>
      </c>
      <c r="I79">
        <v>2</v>
      </c>
      <c r="J79">
        <v>0.16</v>
      </c>
      <c r="K79">
        <v>0.2273</v>
      </c>
      <c r="L79">
        <v>0.93</v>
      </c>
      <c r="M79">
        <v>0</v>
      </c>
      <c r="N79">
        <v>2</v>
      </c>
      <c r="O79">
        <v>114</v>
      </c>
      <c r="P79">
        <v>116</v>
      </c>
    </row>
    <row r="80" spans="1:16" x14ac:dyDescent="0.3">
      <c r="A80">
        <v>698</v>
      </c>
      <c r="B80" s="1">
        <v>40575</v>
      </c>
      <c r="C80">
        <v>1</v>
      </c>
      <c r="D80">
        <v>0</v>
      </c>
      <c r="E80">
        <v>2</v>
      </c>
      <c r="F80">
        <v>10</v>
      </c>
      <c r="G80" t="b">
        <v>0</v>
      </c>
      <c r="H80">
        <v>2</v>
      </c>
      <c r="I80">
        <v>2</v>
      </c>
      <c r="J80">
        <v>0.16</v>
      </c>
      <c r="K80">
        <v>0.2273</v>
      </c>
      <c r="L80">
        <v>0.93</v>
      </c>
      <c r="M80">
        <v>0</v>
      </c>
      <c r="N80">
        <v>0</v>
      </c>
      <c r="O80">
        <v>47</v>
      </c>
      <c r="P80">
        <v>47</v>
      </c>
    </row>
    <row r="81" spans="1:16" x14ac:dyDescent="0.3">
      <c r="A81">
        <v>699</v>
      </c>
      <c r="B81" s="1">
        <v>40575</v>
      </c>
      <c r="C81">
        <v>1</v>
      </c>
      <c r="D81">
        <v>0</v>
      </c>
      <c r="E81">
        <v>2</v>
      </c>
      <c r="F81">
        <v>11</v>
      </c>
      <c r="G81" t="b">
        <v>0</v>
      </c>
      <c r="H81">
        <v>2</v>
      </c>
      <c r="I81">
        <v>2</v>
      </c>
      <c r="J81">
        <v>0.18</v>
      </c>
      <c r="K81">
        <v>0.2424</v>
      </c>
      <c r="L81">
        <v>0.86</v>
      </c>
      <c r="M81">
        <v>0</v>
      </c>
      <c r="N81">
        <v>2</v>
      </c>
      <c r="O81">
        <v>49</v>
      </c>
      <c r="P81">
        <v>51</v>
      </c>
    </row>
    <row r="82" spans="1:16" x14ac:dyDescent="0.3">
      <c r="A82">
        <v>700</v>
      </c>
      <c r="B82" s="1">
        <v>40575</v>
      </c>
      <c r="C82">
        <v>1</v>
      </c>
      <c r="D82">
        <v>0</v>
      </c>
      <c r="E82">
        <v>2</v>
      </c>
      <c r="F82">
        <v>12</v>
      </c>
      <c r="G82" t="b">
        <v>0</v>
      </c>
      <c r="H82">
        <v>2</v>
      </c>
      <c r="I82">
        <v>2</v>
      </c>
      <c r="J82">
        <v>0.2</v>
      </c>
      <c r="K82">
        <v>0.2576</v>
      </c>
      <c r="L82">
        <v>0.86</v>
      </c>
      <c r="M82">
        <v>0</v>
      </c>
      <c r="N82">
        <v>2</v>
      </c>
      <c r="O82">
        <v>53</v>
      </c>
      <c r="P82">
        <v>55</v>
      </c>
    </row>
    <row r="83" spans="1:16" x14ac:dyDescent="0.3">
      <c r="A83">
        <v>701</v>
      </c>
      <c r="B83" s="1">
        <v>40575</v>
      </c>
      <c r="C83">
        <v>1</v>
      </c>
      <c r="D83">
        <v>0</v>
      </c>
      <c r="E83">
        <v>2</v>
      </c>
      <c r="F83">
        <v>13</v>
      </c>
      <c r="G83" t="b">
        <v>0</v>
      </c>
      <c r="H83">
        <v>2</v>
      </c>
      <c r="I83">
        <v>2</v>
      </c>
      <c r="J83">
        <v>0.2</v>
      </c>
      <c r="K83">
        <v>0.2576</v>
      </c>
      <c r="L83">
        <v>0.86</v>
      </c>
      <c r="M83">
        <v>0</v>
      </c>
      <c r="N83">
        <v>3</v>
      </c>
      <c r="O83">
        <v>49</v>
      </c>
      <c r="P83">
        <v>52</v>
      </c>
    </row>
    <row r="84" spans="1:16" x14ac:dyDescent="0.3">
      <c r="A84">
        <v>702</v>
      </c>
      <c r="B84" s="1">
        <v>40575</v>
      </c>
      <c r="C84">
        <v>1</v>
      </c>
      <c r="D84">
        <v>0</v>
      </c>
      <c r="E84">
        <v>2</v>
      </c>
      <c r="F84">
        <v>14</v>
      </c>
      <c r="G84" t="b">
        <v>0</v>
      </c>
      <c r="H84">
        <v>2</v>
      </c>
      <c r="I84">
        <v>2</v>
      </c>
      <c r="J84">
        <v>0.22</v>
      </c>
      <c r="K84">
        <v>0.2576</v>
      </c>
      <c r="L84">
        <v>0.8</v>
      </c>
      <c r="M84">
        <v>8.9599999999999999E-2</v>
      </c>
      <c r="N84">
        <v>5</v>
      </c>
      <c r="O84">
        <v>49</v>
      </c>
      <c r="P84">
        <v>54</v>
      </c>
    </row>
    <row r="85" spans="1:16" x14ac:dyDescent="0.3">
      <c r="A85">
        <v>703</v>
      </c>
      <c r="B85" s="1">
        <v>40575</v>
      </c>
      <c r="C85">
        <v>1</v>
      </c>
      <c r="D85">
        <v>0</v>
      </c>
      <c r="E85">
        <v>2</v>
      </c>
      <c r="F85">
        <v>15</v>
      </c>
      <c r="G85" t="b">
        <v>0</v>
      </c>
      <c r="H85">
        <v>2</v>
      </c>
      <c r="I85">
        <v>2</v>
      </c>
      <c r="J85">
        <v>0.24</v>
      </c>
      <c r="K85">
        <v>0.28789999999999999</v>
      </c>
      <c r="L85">
        <v>0.75</v>
      </c>
      <c r="M85">
        <v>0</v>
      </c>
      <c r="N85">
        <v>7</v>
      </c>
      <c r="O85">
        <v>45</v>
      </c>
      <c r="P85">
        <v>52</v>
      </c>
    </row>
    <row r="86" spans="1:16" x14ac:dyDescent="0.3">
      <c r="A86">
        <v>704</v>
      </c>
      <c r="B86" s="1">
        <v>40575</v>
      </c>
      <c r="C86">
        <v>1</v>
      </c>
      <c r="D86">
        <v>0</v>
      </c>
      <c r="E86">
        <v>2</v>
      </c>
      <c r="F86">
        <v>16</v>
      </c>
      <c r="G86" t="b">
        <v>0</v>
      </c>
      <c r="H86">
        <v>2</v>
      </c>
      <c r="I86">
        <v>2</v>
      </c>
      <c r="J86">
        <v>0.24</v>
      </c>
      <c r="K86">
        <v>0.2424</v>
      </c>
      <c r="L86">
        <v>0.75</v>
      </c>
      <c r="M86">
        <v>0.1343</v>
      </c>
      <c r="N86">
        <v>3</v>
      </c>
      <c r="O86">
        <v>61</v>
      </c>
      <c r="P86">
        <v>64</v>
      </c>
    </row>
    <row r="87" spans="1:16" x14ac:dyDescent="0.3">
      <c r="A87">
        <v>705</v>
      </c>
      <c r="B87" s="1">
        <v>40575</v>
      </c>
      <c r="C87">
        <v>1</v>
      </c>
      <c r="D87">
        <v>0</v>
      </c>
      <c r="E87">
        <v>2</v>
      </c>
      <c r="F87">
        <v>17</v>
      </c>
      <c r="G87" t="b">
        <v>0</v>
      </c>
      <c r="H87">
        <v>2</v>
      </c>
      <c r="I87">
        <v>2</v>
      </c>
      <c r="J87">
        <v>0.24</v>
      </c>
      <c r="K87">
        <v>0.28789999999999999</v>
      </c>
      <c r="L87">
        <v>0.75</v>
      </c>
      <c r="M87">
        <v>0</v>
      </c>
      <c r="N87">
        <v>4</v>
      </c>
      <c r="O87">
        <v>172</v>
      </c>
      <c r="P87">
        <v>176</v>
      </c>
    </row>
    <row r="88" spans="1:16" x14ac:dyDescent="0.3">
      <c r="A88">
        <v>706</v>
      </c>
      <c r="B88" s="1">
        <v>40575</v>
      </c>
      <c r="C88">
        <v>1</v>
      </c>
      <c r="D88">
        <v>0</v>
      </c>
      <c r="E88">
        <v>2</v>
      </c>
      <c r="F88">
        <v>18</v>
      </c>
      <c r="G88" t="b">
        <v>0</v>
      </c>
      <c r="H88">
        <v>2</v>
      </c>
      <c r="I88">
        <v>2</v>
      </c>
      <c r="J88">
        <v>0.24</v>
      </c>
      <c r="K88">
        <v>0.2576</v>
      </c>
      <c r="L88">
        <v>0.81</v>
      </c>
      <c r="M88">
        <v>0.1045</v>
      </c>
      <c r="N88">
        <v>3</v>
      </c>
      <c r="O88">
        <v>165</v>
      </c>
      <c r="P88">
        <v>168</v>
      </c>
    </row>
    <row r="89" spans="1:16" x14ac:dyDescent="0.3">
      <c r="A89">
        <v>707</v>
      </c>
      <c r="B89" s="1">
        <v>40575</v>
      </c>
      <c r="C89">
        <v>1</v>
      </c>
      <c r="D89">
        <v>0</v>
      </c>
      <c r="E89">
        <v>2</v>
      </c>
      <c r="F89">
        <v>19</v>
      </c>
      <c r="G89" t="b">
        <v>0</v>
      </c>
      <c r="H89">
        <v>2</v>
      </c>
      <c r="I89">
        <v>2</v>
      </c>
      <c r="J89">
        <v>0.24</v>
      </c>
      <c r="K89">
        <v>0.2424</v>
      </c>
      <c r="L89">
        <v>0.81</v>
      </c>
      <c r="M89">
        <v>0.1343</v>
      </c>
      <c r="N89">
        <v>3</v>
      </c>
      <c r="O89">
        <v>105</v>
      </c>
      <c r="P89">
        <v>108</v>
      </c>
    </row>
    <row r="90" spans="1:16" x14ac:dyDescent="0.3">
      <c r="A90">
        <v>708</v>
      </c>
      <c r="B90" s="1">
        <v>40575</v>
      </c>
      <c r="C90">
        <v>1</v>
      </c>
      <c r="D90">
        <v>0</v>
      </c>
      <c r="E90">
        <v>2</v>
      </c>
      <c r="F90">
        <v>20</v>
      </c>
      <c r="G90" t="b">
        <v>0</v>
      </c>
      <c r="H90">
        <v>2</v>
      </c>
      <c r="I90">
        <v>2</v>
      </c>
      <c r="J90">
        <v>0.22</v>
      </c>
      <c r="K90">
        <v>0.2273</v>
      </c>
      <c r="L90">
        <v>0.87</v>
      </c>
      <c r="M90">
        <v>0.1343</v>
      </c>
      <c r="N90">
        <v>5</v>
      </c>
      <c r="O90">
        <v>69</v>
      </c>
      <c r="P90">
        <v>74</v>
      </c>
    </row>
    <row r="91" spans="1:16" x14ac:dyDescent="0.3">
      <c r="A91">
        <v>709</v>
      </c>
      <c r="B91" s="1">
        <v>40575</v>
      </c>
      <c r="C91">
        <v>1</v>
      </c>
      <c r="D91">
        <v>0</v>
      </c>
      <c r="E91">
        <v>2</v>
      </c>
      <c r="F91">
        <v>21</v>
      </c>
      <c r="G91" t="b">
        <v>0</v>
      </c>
      <c r="H91">
        <v>2</v>
      </c>
      <c r="I91">
        <v>2</v>
      </c>
      <c r="J91">
        <v>0.22</v>
      </c>
      <c r="K91">
        <v>0.2273</v>
      </c>
      <c r="L91">
        <v>0.87</v>
      </c>
      <c r="M91">
        <v>0.1343</v>
      </c>
      <c r="N91">
        <v>0</v>
      </c>
      <c r="O91">
        <v>64</v>
      </c>
      <c r="P91">
        <v>64</v>
      </c>
    </row>
    <row r="92" spans="1:16" x14ac:dyDescent="0.3">
      <c r="A92">
        <v>710</v>
      </c>
      <c r="B92" s="1">
        <v>40575</v>
      </c>
      <c r="C92">
        <v>1</v>
      </c>
      <c r="D92">
        <v>0</v>
      </c>
      <c r="E92">
        <v>2</v>
      </c>
      <c r="F92">
        <v>22</v>
      </c>
      <c r="G92" t="b">
        <v>0</v>
      </c>
      <c r="H92">
        <v>2</v>
      </c>
      <c r="I92">
        <v>2</v>
      </c>
      <c r="J92">
        <v>0.22</v>
      </c>
      <c r="K92">
        <v>0.2576</v>
      </c>
      <c r="L92">
        <v>0.87</v>
      </c>
      <c r="M92">
        <v>8.9599999999999999E-2</v>
      </c>
      <c r="N92">
        <v>2</v>
      </c>
      <c r="O92">
        <v>34</v>
      </c>
      <c r="P92">
        <v>36</v>
      </c>
    </row>
    <row r="93" spans="1:16" x14ac:dyDescent="0.3">
      <c r="A93">
        <v>711</v>
      </c>
      <c r="B93" s="1">
        <v>40575</v>
      </c>
      <c r="C93">
        <v>1</v>
      </c>
      <c r="D93">
        <v>0</v>
      </c>
      <c r="E93">
        <v>2</v>
      </c>
      <c r="F93">
        <v>23</v>
      </c>
      <c r="G93" t="b">
        <v>0</v>
      </c>
      <c r="H93">
        <v>2</v>
      </c>
      <c r="I93">
        <v>3</v>
      </c>
      <c r="J93">
        <v>0.2</v>
      </c>
      <c r="K93">
        <v>0.19700000000000001</v>
      </c>
      <c r="L93">
        <v>0.93</v>
      </c>
      <c r="M93">
        <v>0.19400000000000001</v>
      </c>
      <c r="N93">
        <v>1</v>
      </c>
      <c r="O93">
        <v>15</v>
      </c>
      <c r="P93">
        <v>16</v>
      </c>
    </row>
    <row r="94" spans="1:16" x14ac:dyDescent="0.3">
      <c r="A94">
        <v>712</v>
      </c>
      <c r="B94" s="1">
        <v>40576</v>
      </c>
      <c r="C94">
        <v>1</v>
      </c>
      <c r="D94">
        <v>0</v>
      </c>
      <c r="E94">
        <v>2</v>
      </c>
      <c r="F94">
        <v>0</v>
      </c>
      <c r="G94" t="b">
        <v>0</v>
      </c>
      <c r="H94">
        <v>3</v>
      </c>
      <c r="I94">
        <v>3</v>
      </c>
      <c r="J94">
        <v>0.22</v>
      </c>
      <c r="K94">
        <v>0.2424</v>
      </c>
      <c r="L94">
        <v>0.93</v>
      </c>
      <c r="M94">
        <v>0.1045</v>
      </c>
      <c r="N94">
        <v>0</v>
      </c>
      <c r="O94">
        <v>2</v>
      </c>
      <c r="P94">
        <v>2</v>
      </c>
    </row>
    <row r="95" spans="1:16" x14ac:dyDescent="0.3">
      <c r="A95">
        <v>713</v>
      </c>
      <c r="B95" s="1">
        <v>40576</v>
      </c>
      <c r="C95">
        <v>1</v>
      </c>
      <c r="D95">
        <v>0</v>
      </c>
      <c r="E95">
        <v>2</v>
      </c>
      <c r="F95">
        <v>1</v>
      </c>
      <c r="G95" t="b">
        <v>0</v>
      </c>
      <c r="H95">
        <v>3</v>
      </c>
      <c r="I95">
        <v>3</v>
      </c>
      <c r="J95">
        <v>0.22</v>
      </c>
      <c r="K95">
        <v>0.2273</v>
      </c>
      <c r="L95">
        <v>0.93</v>
      </c>
      <c r="M95">
        <v>0.19400000000000001</v>
      </c>
      <c r="N95">
        <v>0</v>
      </c>
      <c r="O95">
        <v>3</v>
      </c>
      <c r="P95">
        <v>3</v>
      </c>
    </row>
    <row r="96" spans="1:16" x14ac:dyDescent="0.3">
      <c r="A96">
        <v>714</v>
      </c>
      <c r="B96" s="1">
        <v>40576</v>
      </c>
      <c r="C96">
        <v>1</v>
      </c>
      <c r="D96">
        <v>0</v>
      </c>
      <c r="E96">
        <v>2</v>
      </c>
      <c r="F96">
        <v>2</v>
      </c>
      <c r="G96" t="b">
        <v>0</v>
      </c>
      <c r="H96">
        <v>3</v>
      </c>
      <c r="I96">
        <v>3</v>
      </c>
      <c r="J96">
        <v>0.22</v>
      </c>
      <c r="K96">
        <v>0.2273</v>
      </c>
      <c r="L96">
        <v>0.93</v>
      </c>
      <c r="M96">
        <v>0.1343</v>
      </c>
      <c r="N96">
        <v>4</v>
      </c>
      <c r="O96">
        <v>0</v>
      </c>
      <c r="P96">
        <v>4</v>
      </c>
    </row>
    <row r="97" spans="1:16" x14ac:dyDescent="0.3">
      <c r="A97">
        <v>715</v>
      </c>
      <c r="B97" s="1">
        <v>40576</v>
      </c>
      <c r="C97">
        <v>1</v>
      </c>
      <c r="D97">
        <v>0</v>
      </c>
      <c r="E97">
        <v>2</v>
      </c>
      <c r="F97">
        <v>3</v>
      </c>
      <c r="G97" t="b">
        <v>0</v>
      </c>
      <c r="H97">
        <v>3</v>
      </c>
      <c r="I97">
        <v>3</v>
      </c>
      <c r="J97">
        <v>0.22</v>
      </c>
      <c r="K97">
        <v>0.2273</v>
      </c>
      <c r="L97">
        <v>0.93</v>
      </c>
      <c r="M97">
        <v>0.1343</v>
      </c>
      <c r="N97">
        <v>0</v>
      </c>
      <c r="O97">
        <v>1</v>
      </c>
      <c r="P97">
        <v>1</v>
      </c>
    </row>
    <row r="98" spans="1:16" x14ac:dyDescent="0.3">
      <c r="A98">
        <v>716</v>
      </c>
      <c r="B98" s="1">
        <v>40576</v>
      </c>
      <c r="C98">
        <v>1</v>
      </c>
      <c r="D98">
        <v>0</v>
      </c>
      <c r="E98">
        <v>2</v>
      </c>
      <c r="F98">
        <v>4</v>
      </c>
      <c r="G98" t="b">
        <v>0</v>
      </c>
      <c r="H98">
        <v>3</v>
      </c>
      <c r="I98">
        <v>3</v>
      </c>
      <c r="J98">
        <v>0.22</v>
      </c>
      <c r="K98">
        <v>0.21210000000000001</v>
      </c>
      <c r="L98">
        <v>0.93</v>
      </c>
      <c r="M98">
        <v>0.28360000000000002</v>
      </c>
      <c r="N98">
        <v>0</v>
      </c>
      <c r="O98">
        <v>1</v>
      </c>
      <c r="P98">
        <v>1</v>
      </c>
    </row>
    <row r="99" spans="1:16" x14ac:dyDescent="0.3">
      <c r="A99">
        <v>717</v>
      </c>
      <c r="B99" s="1">
        <v>40576</v>
      </c>
      <c r="C99">
        <v>1</v>
      </c>
      <c r="D99">
        <v>0</v>
      </c>
      <c r="E99">
        <v>2</v>
      </c>
      <c r="F99">
        <v>5</v>
      </c>
      <c r="G99" t="b">
        <v>0</v>
      </c>
      <c r="H99">
        <v>3</v>
      </c>
      <c r="I99">
        <v>3</v>
      </c>
      <c r="J99">
        <v>0.22</v>
      </c>
      <c r="K99">
        <v>0.2424</v>
      </c>
      <c r="L99">
        <v>0.93</v>
      </c>
      <c r="M99">
        <v>0.1045</v>
      </c>
      <c r="N99">
        <v>0</v>
      </c>
      <c r="O99">
        <v>3</v>
      </c>
      <c r="P99">
        <v>3</v>
      </c>
    </row>
    <row r="100" spans="1:16" x14ac:dyDescent="0.3">
      <c r="A100">
        <v>718</v>
      </c>
      <c r="B100" s="1">
        <v>40576</v>
      </c>
      <c r="C100">
        <v>1</v>
      </c>
      <c r="D100">
        <v>0</v>
      </c>
      <c r="E100">
        <v>2</v>
      </c>
      <c r="F100">
        <v>6</v>
      </c>
      <c r="G100" t="b">
        <v>0</v>
      </c>
      <c r="H100">
        <v>3</v>
      </c>
      <c r="I100">
        <v>3</v>
      </c>
      <c r="J100">
        <v>0.22</v>
      </c>
      <c r="K100">
        <v>0.2424</v>
      </c>
      <c r="L100">
        <v>0.93</v>
      </c>
      <c r="M100">
        <v>0.1045</v>
      </c>
      <c r="N100">
        <v>1</v>
      </c>
      <c r="O100">
        <v>17</v>
      </c>
      <c r="P100">
        <v>18</v>
      </c>
    </row>
    <row r="101" spans="1:16" x14ac:dyDescent="0.3">
      <c r="A101">
        <v>719</v>
      </c>
      <c r="B101" s="1">
        <v>40576</v>
      </c>
      <c r="C101">
        <v>1</v>
      </c>
      <c r="D101">
        <v>0</v>
      </c>
      <c r="E101">
        <v>2</v>
      </c>
      <c r="F101">
        <v>7</v>
      </c>
      <c r="G101" t="b">
        <v>0</v>
      </c>
      <c r="H101">
        <v>3</v>
      </c>
      <c r="I101">
        <v>3</v>
      </c>
      <c r="J101">
        <v>0.22</v>
      </c>
      <c r="K101">
        <v>0.21210000000000001</v>
      </c>
      <c r="L101">
        <v>0.93</v>
      </c>
      <c r="M101">
        <v>0.22389999999999999</v>
      </c>
      <c r="N101">
        <v>1</v>
      </c>
      <c r="O101">
        <v>48</v>
      </c>
      <c r="P101">
        <v>49</v>
      </c>
    </row>
    <row r="102" spans="1:16" x14ac:dyDescent="0.3">
      <c r="A102">
        <v>720</v>
      </c>
      <c r="B102" s="1">
        <v>40576</v>
      </c>
      <c r="C102">
        <v>1</v>
      </c>
      <c r="D102">
        <v>0</v>
      </c>
      <c r="E102">
        <v>2</v>
      </c>
      <c r="F102">
        <v>8</v>
      </c>
      <c r="G102" t="b">
        <v>0</v>
      </c>
      <c r="H102">
        <v>3</v>
      </c>
      <c r="I102">
        <v>3</v>
      </c>
      <c r="J102">
        <v>0.22</v>
      </c>
      <c r="K102">
        <v>0.21210000000000001</v>
      </c>
      <c r="L102">
        <v>0.93</v>
      </c>
      <c r="M102">
        <v>0.22389999999999999</v>
      </c>
      <c r="N102">
        <v>1</v>
      </c>
      <c r="O102">
        <v>154</v>
      </c>
      <c r="P102">
        <v>155</v>
      </c>
    </row>
    <row r="103" spans="1:16" x14ac:dyDescent="0.3">
      <c r="A103">
        <v>721</v>
      </c>
      <c r="B103" s="1">
        <v>40576</v>
      </c>
      <c r="C103">
        <v>1</v>
      </c>
      <c r="D103">
        <v>0</v>
      </c>
      <c r="E103">
        <v>2</v>
      </c>
      <c r="F103">
        <v>9</v>
      </c>
      <c r="G103" t="b">
        <v>0</v>
      </c>
      <c r="H103">
        <v>3</v>
      </c>
      <c r="I103">
        <v>2</v>
      </c>
      <c r="J103">
        <v>0.24</v>
      </c>
      <c r="K103">
        <v>0.2576</v>
      </c>
      <c r="L103">
        <v>0.93</v>
      </c>
      <c r="M103">
        <v>8.9599999999999999E-2</v>
      </c>
      <c r="N103">
        <v>4</v>
      </c>
      <c r="O103">
        <v>119</v>
      </c>
      <c r="P103">
        <v>123</v>
      </c>
    </row>
    <row r="104" spans="1:16" x14ac:dyDescent="0.3">
      <c r="A104">
        <v>722</v>
      </c>
      <c r="B104" s="1">
        <v>40576</v>
      </c>
      <c r="C104">
        <v>1</v>
      </c>
      <c r="D104">
        <v>0</v>
      </c>
      <c r="E104">
        <v>2</v>
      </c>
      <c r="F104">
        <v>10</v>
      </c>
      <c r="G104" t="b">
        <v>0</v>
      </c>
      <c r="H104">
        <v>3</v>
      </c>
      <c r="I104">
        <v>2</v>
      </c>
      <c r="J104">
        <v>0.22</v>
      </c>
      <c r="K104">
        <v>0.2727</v>
      </c>
      <c r="L104">
        <v>1</v>
      </c>
      <c r="M104">
        <v>0</v>
      </c>
      <c r="N104">
        <v>2</v>
      </c>
      <c r="O104">
        <v>59</v>
      </c>
      <c r="P104">
        <v>61</v>
      </c>
    </row>
    <row r="105" spans="1:16" x14ac:dyDescent="0.3">
      <c r="A105">
        <v>723</v>
      </c>
      <c r="B105" s="1">
        <v>40576</v>
      </c>
      <c r="C105">
        <v>1</v>
      </c>
      <c r="D105">
        <v>0</v>
      </c>
      <c r="E105">
        <v>2</v>
      </c>
      <c r="F105">
        <v>11</v>
      </c>
      <c r="G105" t="b">
        <v>0</v>
      </c>
      <c r="H105">
        <v>3</v>
      </c>
      <c r="I105">
        <v>2</v>
      </c>
      <c r="J105">
        <v>0.24</v>
      </c>
      <c r="K105">
        <v>0.2273</v>
      </c>
      <c r="L105">
        <v>0.93</v>
      </c>
      <c r="M105">
        <v>0.19400000000000001</v>
      </c>
      <c r="N105">
        <v>5</v>
      </c>
      <c r="O105">
        <v>47</v>
      </c>
      <c r="P105">
        <v>52</v>
      </c>
    </row>
    <row r="106" spans="1:16" x14ac:dyDescent="0.3">
      <c r="A106">
        <v>724</v>
      </c>
      <c r="B106" s="1">
        <v>40576</v>
      </c>
      <c r="C106">
        <v>1</v>
      </c>
      <c r="D106">
        <v>0</v>
      </c>
      <c r="E106">
        <v>2</v>
      </c>
      <c r="F106">
        <v>12</v>
      </c>
      <c r="G106" t="b">
        <v>0</v>
      </c>
      <c r="H106">
        <v>3</v>
      </c>
      <c r="I106">
        <v>2</v>
      </c>
      <c r="J106">
        <v>0.24</v>
      </c>
      <c r="K106">
        <v>0.2273</v>
      </c>
      <c r="L106">
        <v>0.93</v>
      </c>
      <c r="M106">
        <v>0.22389999999999999</v>
      </c>
      <c r="N106">
        <v>3</v>
      </c>
      <c r="O106">
        <v>61</v>
      </c>
      <c r="P106">
        <v>64</v>
      </c>
    </row>
    <row r="107" spans="1:16" x14ac:dyDescent="0.3">
      <c r="A107">
        <v>725</v>
      </c>
      <c r="B107" s="1">
        <v>40576</v>
      </c>
      <c r="C107">
        <v>1</v>
      </c>
      <c r="D107">
        <v>0</v>
      </c>
      <c r="E107">
        <v>2</v>
      </c>
      <c r="F107">
        <v>13</v>
      </c>
      <c r="G107" t="b">
        <v>0</v>
      </c>
      <c r="H107">
        <v>3</v>
      </c>
      <c r="I107">
        <v>1</v>
      </c>
      <c r="J107">
        <v>0.34</v>
      </c>
      <c r="K107">
        <v>0.33329999999999999</v>
      </c>
      <c r="L107">
        <v>0.93</v>
      </c>
      <c r="M107">
        <v>0.16420000000000001</v>
      </c>
      <c r="N107">
        <v>1</v>
      </c>
      <c r="O107">
        <v>74</v>
      </c>
      <c r="P107">
        <v>75</v>
      </c>
    </row>
    <row r="108" spans="1:16" x14ac:dyDescent="0.3">
      <c r="A108">
        <v>726</v>
      </c>
      <c r="B108" s="1">
        <v>40576</v>
      </c>
      <c r="C108">
        <v>1</v>
      </c>
      <c r="D108">
        <v>0</v>
      </c>
      <c r="E108">
        <v>2</v>
      </c>
      <c r="F108">
        <v>14</v>
      </c>
      <c r="G108" t="b">
        <v>0</v>
      </c>
      <c r="H108">
        <v>3</v>
      </c>
      <c r="I108">
        <v>1</v>
      </c>
      <c r="J108">
        <v>0.38</v>
      </c>
      <c r="K108">
        <v>0.39389999999999997</v>
      </c>
      <c r="L108">
        <v>0.82</v>
      </c>
      <c r="M108">
        <v>0.3881</v>
      </c>
      <c r="N108">
        <v>2</v>
      </c>
      <c r="O108">
        <v>61</v>
      </c>
      <c r="P108">
        <v>63</v>
      </c>
    </row>
    <row r="109" spans="1:16" x14ac:dyDescent="0.3">
      <c r="A109">
        <v>727</v>
      </c>
      <c r="B109" s="1">
        <v>40576</v>
      </c>
      <c r="C109">
        <v>1</v>
      </c>
      <c r="D109">
        <v>0</v>
      </c>
      <c r="E109">
        <v>2</v>
      </c>
      <c r="F109">
        <v>15</v>
      </c>
      <c r="G109" t="b">
        <v>0</v>
      </c>
      <c r="H109">
        <v>3</v>
      </c>
      <c r="I109">
        <v>1</v>
      </c>
      <c r="J109">
        <v>0.38</v>
      </c>
      <c r="K109">
        <v>0.39389999999999997</v>
      </c>
      <c r="L109">
        <v>0.76</v>
      </c>
      <c r="M109">
        <v>0.32840000000000003</v>
      </c>
      <c r="N109">
        <v>10</v>
      </c>
      <c r="O109">
        <v>66</v>
      </c>
      <c r="P109">
        <v>76</v>
      </c>
    </row>
    <row r="110" spans="1:16" x14ac:dyDescent="0.3">
      <c r="A110">
        <v>728</v>
      </c>
      <c r="B110" s="1">
        <v>40576</v>
      </c>
      <c r="C110">
        <v>1</v>
      </c>
      <c r="D110">
        <v>0</v>
      </c>
      <c r="E110">
        <v>2</v>
      </c>
      <c r="F110">
        <v>16</v>
      </c>
      <c r="G110" t="b">
        <v>0</v>
      </c>
      <c r="H110">
        <v>3</v>
      </c>
      <c r="I110">
        <v>1</v>
      </c>
      <c r="J110">
        <v>0.36</v>
      </c>
      <c r="K110">
        <v>0.33329999999999999</v>
      </c>
      <c r="L110">
        <v>0.71</v>
      </c>
      <c r="M110">
        <v>0.29849999999999999</v>
      </c>
      <c r="N110">
        <v>8</v>
      </c>
      <c r="O110">
        <v>95</v>
      </c>
      <c r="P110">
        <v>103</v>
      </c>
    </row>
    <row r="111" spans="1:16" x14ac:dyDescent="0.3">
      <c r="A111">
        <v>729</v>
      </c>
      <c r="B111" s="1">
        <v>40576</v>
      </c>
      <c r="C111">
        <v>1</v>
      </c>
      <c r="D111">
        <v>0</v>
      </c>
      <c r="E111">
        <v>2</v>
      </c>
      <c r="F111">
        <v>17</v>
      </c>
      <c r="G111" t="b">
        <v>0</v>
      </c>
      <c r="H111">
        <v>3</v>
      </c>
      <c r="I111">
        <v>1</v>
      </c>
      <c r="J111">
        <v>0.36</v>
      </c>
      <c r="K111">
        <v>0.31819999999999998</v>
      </c>
      <c r="L111">
        <v>0.53</v>
      </c>
      <c r="M111">
        <v>0.52239999999999998</v>
      </c>
      <c r="N111">
        <v>7</v>
      </c>
      <c r="O111">
        <v>183</v>
      </c>
      <c r="P111">
        <v>190</v>
      </c>
    </row>
    <row r="112" spans="1:16" x14ac:dyDescent="0.3">
      <c r="A112">
        <v>730</v>
      </c>
      <c r="B112" s="1">
        <v>40576</v>
      </c>
      <c r="C112">
        <v>1</v>
      </c>
      <c r="D112">
        <v>0</v>
      </c>
      <c r="E112">
        <v>2</v>
      </c>
      <c r="F112">
        <v>18</v>
      </c>
      <c r="G112" t="b">
        <v>0</v>
      </c>
      <c r="H112">
        <v>3</v>
      </c>
      <c r="I112">
        <v>1</v>
      </c>
      <c r="J112">
        <v>0.34</v>
      </c>
      <c r="K112">
        <v>0.28789999999999999</v>
      </c>
      <c r="L112">
        <v>0.42</v>
      </c>
      <c r="M112">
        <v>0.55220000000000002</v>
      </c>
      <c r="N112">
        <v>7</v>
      </c>
      <c r="O112">
        <v>175</v>
      </c>
      <c r="P112">
        <v>182</v>
      </c>
    </row>
    <row r="113" spans="1:16" x14ac:dyDescent="0.3">
      <c r="A113">
        <v>731</v>
      </c>
      <c r="B113" s="1">
        <v>40576</v>
      </c>
      <c r="C113">
        <v>1</v>
      </c>
      <c r="D113">
        <v>0</v>
      </c>
      <c r="E113">
        <v>2</v>
      </c>
      <c r="F113">
        <v>19</v>
      </c>
      <c r="G113" t="b">
        <v>0</v>
      </c>
      <c r="H113">
        <v>3</v>
      </c>
      <c r="I113">
        <v>1</v>
      </c>
      <c r="J113">
        <v>0.28000000000000003</v>
      </c>
      <c r="K113">
        <v>0.2424</v>
      </c>
      <c r="L113">
        <v>0.45</v>
      </c>
      <c r="M113">
        <v>0.49249999999999999</v>
      </c>
      <c r="N113">
        <v>3</v>
      </c>
      <c r="O113">
        <v>88</v>
      </c>
      <c r="P113">
        <v>91</v>
      </c>
    </row>
    <row r="114" spans="1:16" x14ac:dyDescent="0.3">
      <c r="A114">
        <v>732</v>
      </c>
      <c r="B114" s="1">
        <v>40576</v>
      </c>
      <c r="C114">
        <v>1</v>
      </c>
      <c r="D114">
        <v>0</v>
      </c>
      <c r="E114">
        <v>2</v>
      </c>
      <c r="F114">
        <v>20</v>
      </c>
      <c r="G114" t="b">
        <v>0</v>
      </c>
      <c r="H114">
        <v>3</v>
      </c>
      <c r="I114">
        <v>1</v>
      </c>
      <c r="J114">
        <v>0.24</v>
      </c>
      <c r="K114">
        <v>0.19700000000000001</v>
      </c>
      <c r="L114">
        <v>0.48</v>
      </c>
      <c r="M114">
        <v>0.55220000000000002</v>
      </c>
      <c r="N114">
        <v>4</v>
      </c>
      <c r="O114">
        <v>71</v>
      </c>
      <c r="P114">
        <v>75</v>
      </c>
    </row>
    <row r="115" spans="1:16" x14ac:dyDescent="0.3">
      <c r="A115">
        <v>733</v>
      </c>
      <c r="B115" s="1">
        <v>40576</v>
      </c>
      <c r="C115">
        <v>1</v>
      </c>
      <c r="D115">
        <v>0</v>
      </c>
      <c r="E115">
        <v>2</v>
      </c>
      <c r="F115">
        <v>21</v>
      </c>
      <c r="G115" t="b">
        <v>0</v>
      </c>
      <c r="H115">
        <v>3</v>
      </c>
      <c r="I115">
        <v>1</v>
      </c>
      <c r="J115">
        <v>0.22</v>
      </c>
      <c r="K115">
        <v>0.19700000000000001</v>
      </c>
      <c r="L115">
        <v>0.47</v>
      </c>
      <c r="M115">
        <v>0.32840000000000003</v>
      </c>
      <c r="N115">
        <v>1</v>
      </c>
      <c r="O115">
        <v>62</v>
      </c>
      <c r="P115">
        <v>63</v>
      </c>
    </row>
    <row r="116" spans="1:16" x14ac:dyDescent="0.3">
      <c r="A116">
        <v>734</v>
      </c>
      <c r="B116" s="1">
        <v>40576</v>
      </c>
      <c r="C116">
        <v>1</v>
      </c>
      <c r="D116">
        <v>0</v>
      </c>
      <c r="E116">
        <v>2</v>
      </c>
      <c r="F116">
        <v>22</v>
      </c>
      <c r="G116" t="b">
        <v>0</v>
      </c>
      <c r="H116">
        <v>3</v>
      </c>
      <c r="I116">
        <v>1</v>
      </c>
      <c r="J116">
        <v>0.22</v>
      </c>
      <c r="K116">
        <v>0.21210000000000001</v>
      </c>
      <c r="L116">
        <v>0.44</v>
      </c>
      <c r="M116">
        <v>0.25369999999999998</v>
      </c>
      <c r="N116">
        <v>5</v>
      </c>
      <c r="O116">
        <v>35</v>
      </c>
      <c r="P116">
        <v>40</v>
      </c>
    </row>
    <row r="117" spans="1:16" x14ac:dyDescent="0.3">
      <c r="A117">
        <v>735</v>
      </c>
      <c r="B117" s="1">
        <v>40576</v>
      </c>
      <c r="C117">
        <v>1</v>
      </c>
      <c r="D117">
        <v>0</v>
      </c>
      <c r="E117">
        <v>2</v>
      </c>
      <c r="F117">
        <v>23</v>
      </c>
      <c r="G117" t="b">
        <v>0</v>
      </c>
      <c r="H117">
        <v>3</v>
      </c>
      <c r="I117">
        <v>1</v>
      </c>
      <c r="J117">
        <v>0.2</v>
      </c>
      <c r="K117">
        <v>0.16669999999999999</v>
      </c>
      <c r="L117">
        <v>0.44</v>
      </c>
      <c r="M117">
        <v>0.44779999999999998</v>
      </c>
      <c r="N117">
        <v>3</v>
      </c>
      <c r="O117">
        <v>29</v>
      </c>
      <c r="P117">
        <v>32</v>
      </c>
    </row>
    <row r="118" spans="1:16" x14ac:dyDescent="0.3">
      <c r="A118">
        <v>736</v>
      </c>
      <c r="B118" s="1">
        <v>40577</v>
      </c>
      <c r="C118">
        <v>1</v>
      </c>
      <c r="D118">
        <v>0</v>
      </c>
      <c r="E118">
        <v>2</v>
      </c>
      <c r="F118">
        <v>0</v>
      </c>
      <c r="G118" t="b">
        <v>0</v>
      </c>
      <c r="H118">
        <v>4</v>
      </c>
      <c r="I118">
        <v>1</v>
      </c>
      <c r="J118">
        <v>0.2</v>
      </c>
      <c r="K118">
        <v>0.16669999999999999</v>
      </c>
      <c r="L118">
        <v>0.4</v>
      </c>
      <c r="M118">
        <v>0.44779999999999998</v>
      </c>
      <c r="N118">
        <v>1</v>
      </c>
      <c r="O118">
        <v>11</v>
      </c>
      <c r="P118">
        <v>12</v>
      </c>
    </row>
    <row r="119" spans="1:16" x14ac:dyDescent="0.3">
      <c r="A119">
        <v>737</v>
      </c>
      <c r="B119" s="1">
        <v>40577</v>
      </c>
      <c r="C119">
        <v>1</v>
      </c>
      <c r="D119">
        <v>0</v>
      </c>
      <c r="E119">
        <v>2</v>
      </c>
      <c r="F119">
        <v>1</v>
      </c>
      <c r="G119" t="b">
        <v>0</v>
      </c>
      <c r="H119">
        <v>4</v>
      </c>
      <c r="I119">
        <v>1</v>
      </c>
      <c r="J119">
        <v>0.2</v>
      </c>
      <c r="K119">
        <v>0.1515</v>
      </c>
      <c r="L119">
        <v>0.44</v>
      </c>
      <c r="M119">
        <v>0.52239999999999998</v>
      </c>
      <c r="N119">
        <v>0</v>
      </c>
      <c r="O119">
        <v>5</v>
      </c>
      <c r="P119">
        <v>5</v>
      </c>
    </row>
    <row r="120" spans="1:16" x14ac:dyDescent="0.3">
      <c r="A120">
        <v>738</v>
      </c>
      <c r="B120" s="1">
        <v>40577</v>
      </c>
      <c r="C120">
        <v>1</v>
      </c>
      <c r="D120">
        <v>0</v>
      </c>
      <c r="E120">
        <v>2</v>
      </c>
      <c r="F120">
        <v>2</v>
      </c>
      <c r="G120" t="b">
        <v>0</v>
      </c>
      <c r="H120">
        <v>4</v>
      </c>
      <c r="I120">
        <v>1</v>
      </c>
      <c r="J120">
        <v>0.18</v>
      </c>
      <c r="K120">
        <v>0.16669999999999999</v>
      </c>
      <c r="L120">
        <v>0.43</v>
      </c>
      <c r="M120">
        <v>0.25369999999999998</v>
      </c>
      <c r="N120">
        <v>0</v>
      </c>
      <c r="O120">
        <v>2</v>
      </c>
      <c r="P120">
        <v>2</v>
      </c>
    </row>
    <row r="121" spans="1:16" x14ac:dyDescent="0.3">
      <c r="A121">
        <v>739</v>
      </c>
      <c r="B121" s="1">
        <v>40577</v>
      </c>
      <c r="C121">
        <v>1</v>
      </c>
      <c r="D121">
        <v>0</v>
      </c>
      <c r="E121">
        <v>2</v>
      </c>
      <c r="F121">
        <v>3</v>
      </c>
      <c r="G121" t="b">
        <v>0</v>
      </c>
      <c r="H121">
        <v>4</v>
      </c>
      <c r="I121">
        <v>1</v>
      </c>
      <c r="J121">
        <v>0.18</v>
      </c>
      <c r="K121">
        <v>0.16669999999999999</v>
      </c>
      <c r="L121">
        <v>0.43</v>
      </c>
      <c r="M121">
        <v>0.25369999999999998</v>
      </c>
      <c r="N121">
        <v>0</v>
      </c>
      <c r="O121">
        <v>1</v>
      </c>
      <c r="P121">
        <v>1</v>
      </c>
    </row>
    <row r="122" spans="1:16" x14ac:dyDescent="0.3">
      <c r="A122">
        <v>740</v>
      </c>
      <c r="B122" s="1">
        <v>40577</v>
      </c>
      <c r="C122">
        <v>1</v>
      </c>
      <c r="D122">
        <v>0</v>
      </c>
      <c r="E122">
        <v>2</v>
      </c>
      <c r="F122">
        <v>5</v>
      </c>
      <c r="G122" t="b">
        <v>0</v>
      </c>
      <c r="H122">
        <v>4</v>
      </c>
      <c r="I122">
        <v>1</v>
      </c>
      <c r="J122">
        <v>0.16</v>
      </c>
      <c r="K122">
        <v>0.13639999999999999</v>
      </c>
      <c r="L122">
        <v>0.5</v>
      </c>
      <c r="M122">
        <v>0.29849999999999999</v>
      </c>
      <c r="N122">
        <v>0</v>
      </c>
      <c r="O122">
        <v>2</v>
      </c>
      <c r="P122">
        <v>2</v>
      </c>
    </row>
    <row r="123" spans="1:16" x14ac:dyDescent="0.3">
      <c r="A123">
        <v>741</v>
      </c>
      <c r="B123" s="1">
        <v>40577</v>
      </c>
      <c r="C123">
        <v>1</v>
      </c>
      <c r="D123">
        <v>0</v>
      </c>
      <c r="E123">
        <v>2</v>
      </c>
      <c r="F123">
        <v>6</v>
      </c>
      <c r="G123" t="b">
        <v>0</v>
      </c>
      <c r="H123">
        <v>4</v>
      </c>
      <c r="I123">
        <v>1</v>
      </c>
      <c r="J123">
        <v>0.16</v>
      </c>
      <c r="K123">
        <v>0.13639999999999999</v>
      </c>
      <c r="L123">
        <v>0.43</v>
      </c>
      <c r="M123">
        <v>0.35820000000000002</v>
      </c>
      <c r="N123">
        <v>0</v>
      </c>
      <c r="O123">
        <v>39</v>
      </c>
      <c r="P123">
        <v>39</v>
      </c>
    </row>
    <row r="124" spans="1:16" x14ac:dyDescent="0.3">
      <c r="A124">
        <v>742</v>
      </c>
      <c r="B124" s="1">
        <v>40577</v>
      </c>
      <c r="C124">
        <v>1</v>
      </c>
      <c r="D124">
        <v>0</v>
      </c>
      <c r="E124">
        <v>2</v>
      </c>
      <c r="F124">
        <v>7</v>
      </c>
      <c r="G124" t="b">
        <v>0</v>
      </c>
      <c r="H124">
        <v>4</v>
      </c>
      <c r="I124">
        <v>1</v>
      </c>
      <c r="J124">
        <v>0.14000000000000001</v>
      </c>
      <c r="K124">
        <v>0.1212</v>
      </c>
      <c r="L124">
        <v>0.5</v>
      </c>
      <c r="M124">
        <v>0.32840000000000003</v>
      </c>
      <c r="N124">
        <v>1</v>
      </c>
      <c r="O124">
        <v>86</v>
      </c>
      <c r="P124">
        <v>87</v>
      </c>
    </row>
    <row r="125" spans="1:16" x14ac:dyDescent="0.3">
      <c r="A125">
        <v>743</v>
      </c>
      <c r="B125" s="1">
        <v>40577</v>
      </c>
      <c r="C125">
        <v>1</v>
      </c>
      <c r="D125">
        <v>0</v>
      </c>
      <c r="E125">
        <v>2</v>
      </c>
      <c r="F125">
        <v>8</v>
      </c>
      <c r="G125" t="b">
        <v>0</v>
      </c>
      <c r="H125">
        <v>4</v>
      </c>
      <c r="I125">
        <v>1</v>
      </c>
      <c r="J125">
        <v>0.14000000000000001</v>
      </c>
      <c r="K125">
        <v>0.1212</v>
      </c>
      <c r="L125">
        <v>0.5</v>
      </c>
      <c r="M125">
        <v>0.35820000000000002</v>
      </c>
      <c r="N125">
        <v>4</v>
      </c>
      <c r="O125">
        <v>184</v>
      </c>
      <c r="P125">
        <v>188</v>
      </c>
    </row>
    <row r="126" spans="1:16" x14ac:dyDescent="0.3">
      <c r="A126">
        <v>744</v>
      </c>
      <c r="B126" s="1">
        <v>40577</v>
      </c>
      <c r="C126">
        <v>1</v>
      </c>
      <c r="D126">
        <v>0</v>
      </c>
      <c r="E126">
        <v>2</v>
      </c>
      <c r="F126">
        <v>9</v>
      </c>
      <c r="G126" t="b">
        <v>0</v>
      </c>
      <c r="H126">
        <v>4</v>
      </c>
      <c r="I126">
        <v>1</v>
      </c>
      <c r="J126">
        <v>0.16</v>
      </c>
      <c r="K126">
        <v>0.13639999999999999</v>
      </c>
      <c r="L126">
        <v>0.47</v>
      </c>
      <c r="M126">
        <v>0.29849999999999999</v>
      </c>
      <c r="N126">
        <v>6</v>
      </c>
      <c r="O126">
        <v>127</v>
      </c>
      <c r="P126">
        <v>133</v>
      </c>
    </row>
    <row r="127" spans="1:16" x14ac:dyDescent="0.3">
      <c r="A127">
        <v>745</v>
      </c>
      <c r="B127" s="1">
        <v>40577</v>
      </c>
      <c r="C127">
        <v>1</v>
      </c>
      <c r="D127">
        <v>0</v>
      </c>
      <c r="E127">
        <v>2</v>
      </c>
      <c r="F127">
        <v>10</v>
      </c>
      <c r="G127" t="b">
        <v>0</v>
      </c>
      <c r="H127">
        <v>4</v>
      </c>
      <c r="I127">
        <v>1</v>
      </c>
      <c r="J127">
        <v>0.18</v>
      </c>
      <c r="K127">
        <v>0.1515</v>
      </c>
      <c r="L127">
        <v>0.43</v>
      </c>
      <c r="M127">
        <v>0.32840000000000003</v>
      </c>
      <c r="N127">
        <v>2</v>
      </c>
      <c r="O127">
        <v>50</v>
      </c>
      <c r="P127">
        <v>52</v>
      </c>
    </row>
    <row r="128" spans="1:16" x14ac:dyDescent="0.3">
      <c r="A128">
        <v>746</v>
      </c>
      <c r="B128" s="1">
        <v>40577</v>
      </c>
      <c r="C128">
        <v>1</v>
      </c>
      <c r="D128">
        <v>0</v>
      </c>
      <c r="E128">
        <v>2</v>
      </c>
      <c r="F128">
        <v>11</v>
      </c>
      <c r="G128" t="b">
        <v>0</v>
      </c>
      <c r="H128">
        <v>4</v>
      </c>
      <c r="I128">
        <v>1</v>
      </c>
      <c r="J128">
        <v>0.18</v>
      </c>
      <c r="K128">
        <v>0.13639999999999999</v>
      </c>
      <c r="L128">
        <v>0.43</v>
      </c>
      <c r="M128">
        <v>0.44779999999999998</v>
      </c>
      <c r="N128">
        <v>9</v>
      </c>
      <c r="O128">
        <v>55</v>
      </c>
      <c r="P128">
        <v>64</v>
      </c>
    </row>
    <row r="129" spans="1:16" x14ac:dyDescent="0.3">
      <c r="A129">
        <v>747</v>
      </c>
      <c r="B129" s="1">
        <v>40577</v>
      </c>
      <c r="C129">
        <v>1</v>
      </c>
      <c r="D129">
        <v>0</v>
      </c>
      <c r="E129">
        <v>2</v>
      </c>
      <c r="F129">
        <v>12</v>
      </c>
      <c r="G129" t="b">
        <v>0</v>
      </c>
      <c r="H129">
        <v>4</v>
      </c>
      <c r="I129">
        <v>1</v>
      </c>
      <c r="J129">
        <v>0.2</v>
      </c>
      <c r="K129">
        <v>0.18179999999999999</v>
      </c>
      <c r="L129">
        <v>0.4</v>
      </c>
      <c r="M129">
        <v>0.35820000000000002</v>
      </c>
      <c r="N129">
        <v>2</v>
      </c>
      <c r="O129">
        <v>67</v>
      </c>
      <c r="P129">
        <v>69</v>
      </c>
    </row>
    <row r="130" spans="1:16" x14ac:dyDescent="0.3">
      <c r="A130">
        <v>748</v>
      </c>
      <c r="B130" s="1">
        <v>40577</v>
      </c>
      <c r="C130">
        <v>1</v>
      </c>
      <c r="D130">
        <v>0</v>
      </c>
      <c r="E130">
        <v>2</v>
      </c>
      <c r="F130">
        <v>13</v>
      </c>
      <c r="G130" t="b">
        <v>0</v>
      </c>
      <c r="H130">
        <v>4</v>
      </c>
      <c r="I130">
        <v>1</v>
      </c>
      <c r="J130">
        <v>0.2</v>
      </c>
      <c r="K130">
        <v>0.16669999999999999</v>
      </c>
      <c r="L130">
        <v>0.4</v>
      </c>
      <c r="M130">
        <v>0.41789999999999999</v>
      </c>
      <c r="N130">
        <v>4</v>
      </c>
      <c r="O130">
        <v>47</v>
      </c>
      <c r="P130">
        <v>51</v>
      </c>
    </row>
    <row r="131" spans="1:16" x14ac:dyDescent="0.3">
      <c r="A131">
        <v>749</v>
      </c>
      <c r="B131" s="1">
        <v>40577</v>
      </c>
      <c r="C131">
        <v>1</v>
      </c>
      <c r="D131">
        <v>0</v>
      </c>
      <c r="E131">
        <v>2</v>
      </c>
      <c r="F131">
        <v>14</v>
      </c>
      <c r="G131" t="b">
        <v>0</v>
      </c>
      <c r="H131">
        <v>4</v>
      </c>
      <c r="I131">
        <v>1</v>
      </c>
      <c r="J131">
        <v>0.22</v>
      </c>
      <c r="K131">
        <v>0.19700000000000001</v>
      </c>
      <c r="L131">
        <v>0.37</v>
      </c>
      <c r="M131">
        <v>0.3881</v>
      </c>
      <c r="N131">
        <v>4</v>
      </c>
      <c r="O131">
        <v>43</v>
      </c>
      <c r="P131">
        <v>47</v>
      </c>
    </row>
    <row r="132" spans="1:16" x14ac:dyDescent="0.3">
      <c r="A132">
        <v>750</v>
      </c>
      <c r="B132" s="1">
        <v>40577</v>
      </c>
      <c r="C132">
        <v>1</v>
      </c>
      <c r="D132">
        <v>0</v>
      </c>
      <c r="E132">
        <v>2</v>
      </c>
      <c r="F132">
        <v>15</v>
      </c>
      <c r="G132" t="b">
        <v>0</v>
      </c>
      <c r="H132">
        <v>4</v>
      </c>
      <c r="I132">
        <v>1</v>
      </c>
      <c r="J132">
        <v>0.22</v>
      </c>
      <c r="K132">
        <v>0.19700000000000001</v>
      </c>
      <c r="L132">
        <v>0.37</v>
      </c>
      <c r="M132">
        <v>0.32840000000000003</v>
      </c>
      <c r="N132">
        <v>4</v>
      </c>
      <c r="O132">
        <v>56</v>
      </c>
      <c r="P132">
        <v>60</v>
      </c>
    </row>
    <row r="133" spans="1:16" x14ac:dyDescent="0.3">
      <c r="A133">
        <v>751</v>
      </c>
      <c r="B133" s="1">
        <v>40577</v>
      </c>
      <c r="C133">
        <v>1</v>
      </c>
      <c r="D133">
        <v>0</v>
      </c>
      <c r="E133">
        <v>2</v>
      </c>
      <c r="F133">
        <v>16</v>
      </c>
      <c r="G133" t="b">
        <v>0</v>
      </c>
      <c r="H133">
        <v>4</v>
      </c>
      <c r="I133">
        <v>1</v>
      </c>
      <c r="J133">
        <v>0.22</v>
      </c>
      <c r="K133">
        <v>0.21210000000000001</v>
      </c>
      <c r="L133">
        <v>0.37</v>
      </c>
      <c r="M133">
        <v>0.25369999999999998</v>
      </c>
      <c r="N133">
        <v>5</v>
      </c>
      <c r="O133">
        <v>73</v>
      </c>
      <c r="P133">
        <v>78</v>
      </c>
    </row>
    <row r="134" spans="1:16" x14ac:dyDescent="0.3">
      <c r="A134">
        <v>752</v>
      </c>
      <c r="B134" s="1">
        <v>40577</v>
      </c>
      <c r="C134">
        <v>1</v>
      </c>
      <c r="D134">
        <v>0</v>
      </c>
      <c r="E134">
        <v>2</v>
      </c>
      <c r="F134">
        <v>17</v>
      </c>
      <c r="G134" t="b">
        <v>0</v>
      </c>
      <c r="H134">
        <v>4</v>
      </c>
      <c r="I134">
        <v>1</v>
      </c>
      <c r="J134">
        <v>0.2</v>
      </c>
      <c r="K134">
        <v>0.19700000000000001</v>
      </c>
      <c r="L134">
        <v>0.4</v>
      </c>
      <c r="M134">
        <v>0.19400000000000001</v>
      </c>
      <c r="N134">
        <v>5</v>
      </c>
      <c r="O134">
        <v>170</v>
      </c>
      <c r="P134">
        <v>175</v>
      </c>
    </row>
    <row r="135" spans="1:16" x14ac:dyDescent="0.3">
      <c r="A135">
        <v>753</v>
      </c>
      <c r="B135" s="1">
        <v>40577</v>
      </c>
      <c r="C135">
        <v>1</v>
      </c>
      <c r="D135">
        <v>0</v>
      </c>
      <c r="E135">
        <v>2</v>
      </c>
      <c r="F135">
        <v>18</v>
      </c>
      <c r="G135" t="b">
        <v>0</v>
      </c>
      <c r="H135">
        <v>4</v>
      </c>
      <c r="I135">
        <v>1</v>
      </c>
      <c r="J135">
        <v>0.2</v>
      </c>
      <c r="K135">
        <v>0.21210000000000001</v>
      </c>
      <c r="L135">
        <v>0.4</v>
      </c>
      <c r="M135">
        <v>0.16420000000000001</v>
      </c>
      <c r="N135">
        <v>2</v>
      </c>
      <c r="O135">
        <v>145</v>
      </c>
      <c r="P135">
        <v>147</v>
      </c>
    </row>
    <row r="136" spans="1:16" x14ac:dyDescent="0.3">
      <c r="A136">
        <v>754</v>
      </c>
      <c r="B136" s="1">
        <v>40577</v>
      </c>
      <c r="C136">
        <v>1</v>
      </c>
      <c r="D136">
        <v>0</v>
      </c>
      <c r="E136">
        <v>2</v>
      </c>
      <c r="F136">
        <v>19</v>
      </c>
      <c r="G136" t="b">
        <v>0</v>
      </c>
      <c r="H136">
        <v>4</v>
      </c>
      <c r="I136">
        <v>1</v>
      </c>
      <c r="J136">
        <v>0.2</v>
      </c>
      <c r="K136">
        <v>0.2576</v>
      </c>
      <c r="L136">
        <v>0.4</v>
      </c>
      <c r="M136">
        <v>0</v>
      </c>
      <c r="N136">
        <v>4</v>
      </c>
      <c r="O136">
        <v>92</v>
      </c>
      <c r="P136">
        <v>96</v>
      </c>
    </row>
    <row r="137" spans="1:16" x14ac:dyDescent="0.3">
      <c r="A137">
        <v>755</v>
      </c>
      <c r="B137" s="1">
        <v>40577</v>
      </c>
      <c r="C137">
        <v>1</v>
      </c>
      <c r="D137">
        <v>0</v>
      </c>
      <c r="E137">
        <v>2</v>
      </c>
      <c r="F137">
        <v>20</v>
      </c>
      <c r="G137" t="b">
        <v>0</v>
      </c>
      <c r="H137">
        <v>4</v>
      </c>
      <c r="I137">
        <v>1</v>
      </c>
      <c r="J137">
        <v>0.2</v>
      </c>
      <c r="K137">
        <v>0.2273</v>
      </c>
      <c r="L137">
        <v>0.47</v>
      </c>
      <c r="M137">
        <v>8.9599999999999999E-2</v>
      </c>
      <c r="N137">
        <v>1</v>
      </c>
      <c r="O137">
        <v>108</v>
      </c>
      <c r="P137">
        <v>109</v>
      </c>
    </row>
    <row r="138" spans="1:16" x14ac:dyDescent="0.3">
      <c r="A138">
        <v>756</v>
      </c>
      <c r="B138" s="1">
        <v>40577</v>
      </c>
      <c r="C138">
        <v>1</v>
      </c>
      <c r="D138">
        <v>0</v>
      </c>
      <c r="E138">
        <v>2</v>
      </c>
      <c r="F138">
        <v>21</v>
      </c>
      <c r="G138" t="b">
        <v>0</v>
      </c>
      <c r="H138">
        <v>4</v>
      </c>
      <c r="I138">
        <v>1</v>
      </c>
      <c r="J138">
        <v>0.18</v>
      </c>
      <c r="K138">
        <v>0.21210000000000001</v>
      </c>
      <c r="L138">
        <v>0.55000000000000004</v>
      </c>
      <c r="M138">
        <v>0.1045</v>
      </c>
      <c r="N138">
        <v>1</v>
      </c>
      <c r="O138">
        <v>53</v>
      </c>
      <c r="P138">
        <v>54</v>
      </c>
    </row>
    <row r="139" spans="1:16" x14ac:dyDescent="0.3">
      <c r="A139">
        <v>757</v>
      </c>
      <c r="B139" s="1">
        <v>40577</v>
      </c>
      <c r="C139">
        <v>1</v>
      </c>
      <c r="D139">
        <v>0</v>
      </c>
      <c r="E139">
        <v>2</v>
      </c>
      <c r="F139">
        <v>22</v>
      </c>
      <c r="G139" t="b">
        <v>0</v>
      </c>
      <c r="H139">
        <v>4</v>
      </c>
      <c r="I139">
        <v>1</v>
      </c>
      <c r="J139">
        <v>0.18</v>
      </c>
      <c r="K139">
        <v>0.21210000000000001</v>
      </c>
      <c r="L139">
        <v>0.51</v>
      </c>
      <c r="M139">
        <v>8.9599999999999999E-2</v>
      </c>
      <c r="N139">
        <v>2</v>
      </c>
      <c r="O139">
        <v>39</v>
      </c>
      <c r="P139">
        <v>41</v>
      </c>
    </row>
    <row r="140" spans="1:16" x14ac:dyDescent="0.3">
      <c r="A140">
        <v>758</v>
      </c>
      <c r="B140" s="1">
        <v>40577</v>
      </c>
      <c r="C140">
        <v>1</v>
      </c>
      <c r="D140">
        <v>0</v>
      </c>
      <c r="E140">
        <v>2</v>
      </c>
      <c r="F140">
        <v>23</v>
      </c>
      <c r="G140" t="b">
        <v>0</v>
      </c>
      <c r="H140">
        <v>4</v>
      </c>
      <c r="I140">
        <v>1</v>
      </c>
      <c r="J140">
        <v>0.2</v>
      </c>
      <c r="K140">
        <v>0.2273</v>
      </c>
      <c r="L140">
        <v>0.47</v>
      </c>
      <c r="M140">
        <v>0.1045</v>
      </c>
      <c r="N140">
        <v>4</v>
      </c>
      <c r="O140">
        <v>34</v>
      </c>
      <c r="P140">
        <v>38</v>
      </c>
    </row>
    <row r="141" spans="1:16" x14ac:dyDescent="0.3">
      <c r="A141">
        <v>759</v>
      </c>
      <c r="B141" s="1">
        <v>40578</v>
      </c>
      <c r="C141">
        <v>1</v>
      </c>
      <c r="D141">
        <v>0</v>
      </c>
      <c r="E141">
        <v>2</v>
      </c>
      <c r="F141">
        <v>0</v>
      </c>
      <c r="G141" t="b">
        <v>0</v>
      </c>
      <c r="H141">
        <v>5</v>
      </c>
      <c r="I141">
        <v>2</v>
      </c>
      <c r="J141">
        <v>0.2</v>
      </c>
      <c r="K141">
        <v>0.2576</v>
      </c>
      <c r="L141">
        <v>0.44</v>
      </c>
      <c r="M141">
        <v>0</v>
      </c>
      <c r="N141">
        <v>3</v>
      </c>
      <c r="O141">
        <v>10</v>
      </c>
      <c r="P141">
        <v>13</v>
      </c>
    </row>
    <row r="142" spans="1:16" x14ac:dyDescent="0.3">
      <c r="A142">
        <v>760</v>
      </c>
      <c r="B142" s="1">
        <v>40578</v>
      </c>
      <c r="C142">
        <v>1</v>
      </c>
      <c r="D142">
        <v>0</v>
      </c>
      <c r="E142">
        <v>2</v>
      </c>
      <c r="F142">
        <v>1</v>
      </c>
      <c r="G142" t="b">
        <v>0</v>
      </c>
      <c r="H142">
        <v>5</v>
      </c>
      <c r="I142">
        <v>2</v>
      </c>
      <c r="J142">
        <v>0.16</v>
      </c>
      <c r="K142">
        <v>0.2273</v>
      </c>
      <c r="L142">
        <v>0.59</v>
      </c>
      <c r="M142">
        <v>0</v>
      </c>
      <c r="N142">
        <v>0</v>
      </c>
      <c r="O142">
        <v>7</v>
      </c>
      <c r="P142">
        <v>7</v>
      </c>
    </row>
    <row r="143" spans="1:16" x14ac:dyDescent="0.3">
      <c r="A143">
        <v>761</v>
      </c>
      <c r="B143" s="1">
        <v>40578</v>
      </c>
      <c r="C143">
        <v>1</v>
      </c>
      <c r="D143">
        <v>0</v>
      </c>
      <c r="E143">
        <v>2</v>
      </c>
      <c r="F143">
        <v>2</v>
      </c>
      <c r="G143" t="b">
        <v>0</v>
      </c>
      <c r="H143">
        <v>5</v>
      </c>
      <c r="I143">
        <v>2</v>
      </c>
      <c r="J143">
        <v>0.14000000000000001</v>
      </c>
      <c r="K143">
        <v>0.16669999999999999</v>
      </c>
      <c r="L143">
        <v>0.63</v>
      </c>
      <c r="M143">
        <v>0.1045</v>
      </c>
      <c r="N143">
        <v>0</v>
      </c>
      <c r="O143">
        <v>1</v>
      </c>
      <c r="P143">
        <v>1</v>
      </c>
    </row>
    <row r="144" spans="1:16" x14ac:dyDescent="0.3">
      <c r="A144">
        <v>762</v>
      </c>
      <c r="B144" s="1">
        <v>40578</v>
      </c>
      <c r="C144">
        <v>1</v>
      </c>
      <c r="D144">
        <v>0</v>
      </c>
      <c r="E144">
        <v>2</v>
      </c>
      <c r="F144">
        <v>3</v>
      </c>
      <c r="G144" t="b">
        <v>0</v>
      </c>
      <c r="H144">
        <v>5</v>
      </c>
      <c r="I144">
        <v>2</v>
      </c>
      <c r="J144">
        <v>0.14000000000000001</v>
      </c>
      <c r="K144">
        <v>0.16669999999999999</v>
      </c>
      <c r="L144">
        <v>0.63</v>
      </c>
      <c r="M144">
        <v>0.1045</v>
      </c>
      <c r="N144">
        <v>0</v>
      </c>
      <c r="O144">
        <v>1</v>
      </c>
      <c r="P144">
        <v>1</v>
      </c>
    </row>
    <row r="145" spans="1:16" x14ac:dyDescent="0.3">
      <c r="A145">
        <v>763</v>
      </c>
      <c r="B145" s="1">
        <v>40578</v>
      </c>
      <c r="C145">
        <v>1</v>
      </c>
      <c r="D145">
        <v>0</v>
      </c>
      <c r="E145">
        <v>2</v>
      </c>
      <c r="F145">
        <v>5</v>
      </c>
      <c r="G145" t="b">
        <v>0</v>
      </c>
      <c r="H145">
        <v>5</v>
      </c>
      <c r="I145">
        <v>2</v>
      </c>
      <c r="J145">
        <v>0.14000000000000001</v>
      </c>
      <c r="K145">
        <v>0.1515</v>
      </c>
      <c r="L145">
        <v>0.63</v>
      </c>
      <c r="M145">
        <v>0.1343</v>
      </c>
      <c r="N145">
        <v>0</v>
      </c>
      <c r="O145">
        <v>7</v>
      </c>
      <c r="P145">
        <v>7</v>
      </c>
    </row>
    <row r="146" spans="1:16" x14ac:dyDescent="0.3">
      <c r="A146">
        <v>764</v>
      </c>
      <c r="B146" s="1">
        <v>40578</v>
      </c>
      <c r="C146">
        <v>1</v>
      </c>
      <c r="D146">
        <v>0</v>
      </c>
      <c r="E146">
        <v>2</v>
      </c>
      <c r="F146">
        <v>6</v>
      </c>
      <c r="G146" t="b">
        <v>0</v>
      </c>
      <c r="H146">
        <v>5</v>
      </c>
      <c r="I146">
        <v>2</v>
      </c>
      <c r="J146">
        <v>0.16</v>
      </c>
      <c r="K146">
        <v>0.2273</v>
      </c>
      <c r="L146">
        <v>0.55000000000000004</v>
      </c>
      <c r="M146">
        <v>0</v>
      </c>
      <c r="N146">
        <v>2</v>
      </c>
      <c r="O146">
        <v>26</v>
      </c>
      <c r="P146">
        <v>28</v>
      </c>
    </row>
    <row r="147" spans="1:16" x14ac:dyDescent="0.3">
      <c r="A147">
        <v>765</v>
      </c>
      <c r="B147" s="1">
        <v>40578</v>
      </c>
      <c r="C147">
        <v>1</v>
      </c>
      <c r="D147">
        <v>0</v>
      </c>
      <c r="E147">
        <v>2</v>
      </c>
      <c r="F147">
        <v>7</v>
      </c>
      <c r="G147" t="b">
        <v>0</v>
      </c>
      <c r="H147">
        <v>5</v>
      </c>
      <c r="I147">
        <v>1</v>
      </c>
      <c r="J147">
        <v>0.14000000000000001</v>
      </c>
      <c r="K147">
        <v>0.21210000000000001</v>
      </c>
      <c r="L147">
        <v>0.59</v>
      </c>
      <c r="M147">
        <v>0</v>
      </c>
      <c r="N147">
        <v>0</v>
      </c>
      <c r="O147">
        <v>87</v>
      </c>
      <c r="P147">
        <v>87</v>
      </c>
    </row>
    <row r="148" spans="1:16" x14ac:dyDescent="0.3">
      <c r="A148">
        <v>766</v>
      </c>
      <c r="B148" s="1">
        <v>40578</v>
      </c>
      <c r="C148">
        <v>1</v>
      </c>
      <c r="D148">
        <v>0</v>
      </c>
      <c r="E148">
        <v>2</v>
      </c>
      <c r="F148">
        <v>8</v>
      </c>
      <c r="G148" t="b">
        <v>0</v>
      </c>
      <c r="H148">
        <v>5</v>
      </c>
      <c r="I148">
        <v>1</v>
      </c>
      <c r="J148">
        <v>0.14000000000000001</v>
      </c>
      <c r="K148">
        <v>0.1515</v>
      </c>
      <c r="L148">
        <v>0.74</v>
      </c>
      <c r="M148">
        <v>0.1343</v>
      </c>
      <c r="N148">
        <v>3</v>
      </c>
      <c r="O148">
        <v>217</v>
      </c>
      <c r="P148">
        <v>220</v>
      </c>
    </row>
    <row r="149" spans="1:16" x14ac:dyDescent="0.3">
      <c r="A149">
        <v>767</v>
      </c>
      <c r="B149" s="1">
        <v>40578</v>
      </c>
      <c r="C149">
        <v>1</v>
      </c>
      <c r="D149">
        <v>0</v>
      </c>
      <c r="E149">
        <v>2</v>
      </c>
      <c r="F149">
        <v>9</v>
      </c>
      <c r="G149" t="b">
        <v>0</v>
      </c>
      <c r="H149">
        <v>5</v>
      </c>
      <c r="I149">
        <v>2</v>
      </c>
      <c r="J149">
        <v>0.16</v>
      </c>
      <c r="K149">
        <v>0.18179999999999999</v>
      </c>
      <c r="L149">
        <v>0.8</v>
      </c>
      <c r="M149">
        <v>0.1343</v>
      </c>
      <c r="N149">
        <v>3</v>
      </c>
      <c r="O149">
        <v>124</v>
      </c>
      <c r="P149">
        <v>127</v>
      </c>
    </row>
    <row r="150" spans="1:16" x14ac:dyDescent="0.3">
      <c r="A150">
        <v>768</v>
      </c>
      <c r="B150" s="1">
        <v>40578</v>
      </c>
      <c r="C150">
        <v>1</v>
      </c>
      <c r="D150">
        <v>0</v>
      </c>
      <c r="E150">
        <v>2</v>
      </c>
      <c r="F150">
        <v>10</v>
      </c>
      <c r="G150" t="b">
        <v>0</v>
      </c>
      <c r="H150">
        <v>5</v>
      </c>
      <c r="I150">
        <v>2</v>
      </c>
      <c r="J150">
        <v>0.2</v>
      </c>
      <c r="K150">
        <v>0.21210000000000001</v>
      </c>
      <c r="L150">
        <v>0.51</v>
      </c>
      <c r="M150">
        <v>0.1343</v>
      </c>
      <c r="N150">
        <v>5</v>
      </c>
      <c r="O150">
        <v>46</v>
      </c>
      <c r="P150">
        <v>51</v>
      </c>
    </row>
    <row r="151" spans="1:16" x14ac:dyDescent="0.3">
      <c r="A151">
        <v>769</v>
      </c>
      <c r="B151" s="1">
        <v>40578</v>
      </c>
      <c r="C151">
        <v>1</v>
      </c>
      <c r="D151">
        <v>0</v>
      </c>
      <c r="E151">
        <v>2</v>
      </c>
      <c r="F151">
        <v>11</v>
      </c>
      <c r="G151" t="b">
        <v>0</v>
      </c>
      <c r="H151">
        <v>5</v>
      </c>
      <c r="I151">
        <v>1</v>
      </c>
      <c r="J151">
        <v>0.22</v>
      </c>
      <c r="K151">
        <v>0.2273</v>
      </c>
      <c r="L151">
        <v>0.51</v>
      </c>
      <c r="M151">
        <v>0.16420000000000001</v>
      </c>
      <c r="N151">
        <v>3</v>
      </c>
      <c r="O151">
        <v>61</v>
      </c>
      <c r="P151">
        <v>64</v>
      </c>
    </row>
    <row r="152" spans="1:16" x14ac:dyDescent="0.3">
      <c r="A152">
        <v>770</v>
      </c>
      <c r="B152" s="1">
        <v>40578</v>
      </c>
      <c r="C152">
        <v>1</v>
      </c>
      <c r="D152">
        <v>0</v>
      </c>
      <c r="E152">
        <v>2</v>
      </c>
      <c r="F152">
        <v>12</v>
      </c>
      <c r="G152" t="b">
        <v>0</v>
      </c>
      <c r="H152">
        <v>5</v>
      </c>
      <c r="I152">
        <v>2</v>
      </c>
      <c r="J152">
        <v>0.24</v>
      </c>
      <c r="K152">
        <v>0.2424</v>
      </c>
      <c r="L152">
        <v>0.48</v>
      </c>
      <c r="M152">
        <v>0.16420000000000001</v>
      </c>
      <c r="N152">
        <v>8</v>
      </c>
      <c r="O152">
        <v>78</v>
      </c>
      <c r="P152">
        <v>86</v>
      </c>
    </row>
    <row r="153" spans="1:16" x14ac:dyDescent="0.3">
      <c r="A153">
        <v>771</v>
      </c>
      <c r="B153" s="1">
        <v>40578</v>
      </c>
      <c r="C153">
        <v>1</v>
      </c>
      <c r="D153">
        <v>0</v>
      </c>
      <c r="E153">
        <v>2</v>
      </c>
      <c r="F153">
        <v>13</v>
      </c>
      <c r="G153" t="b">
        <v>0</v>
      </c>
      <c r="H153">
        <v>5</v>
      </c>
      <c r="I153">
        <v>2</v>
      </c>
      <c r="J153">
        <v>0.26</v>
      </c>
      <c r="K153">
        <v>0.2576</v>
      </c>
      <c r="L153">
        <v>0.5</v>
      </c>
      <c r="M153">
        <v>0.22389999999999999</v>
      </c>
      <c r="N153">
        <v>9</v>
      </c>
      <c r="O153">
        <v>73</v>
      </c>
      <c r="P153">
        <v>82</v>
      </c>
    </row>
    <row r="154" spans="1:16" x14ac:dyDescent="0.3">
      <c r="A154">
        <v>772</v>
      </c>
      <c r="B154" s="1">
        <v>40578</v>
      </c>
      <c r="C154">
        <v>1</v>
      </c>
      <c r="D154">
        <v>0</v>
      </c>
      <c r="E154">
        <v>2</v>
      </c>
      <c r="F154">
        <v>14</v>
      </c>
      <c r="G154" t="b">
        <v>0</v>
      </c>
      <c r="H154">
        <v>5</v>
      </c>
      <c r="I154">
        <v>2</v>
      </c>
      <c r="J154">
        <v>0.28000000000000003</v>
      </c>
      <c r="K154">
        <v>0.2727</v>
      </c>
      <c r="L154">
        <v>0.45</v>
      </c>
      <c r="M154">
        <v>0.16420000000000001</v>
      </c>
      <c r="N154">
        <v>15</v>
      </c>
      <c r="O154">
        <v>76</v>
      </c>
      <c r="P154">
        <v>91</v>
      </c>
    </row>
    <row r="155" spans="1:16" x14ac:dyDescent="0.3">
      <c r="A155">
        <v>773</v>
      </c>
      <c r="B155" s="1">
        <v>40578</v>
      </c>
      <c r="C155">
        <v>1</v>
      </c>
      <c r="D155">
        <v>0</v>
      </c>
      <c r="E155">
        <v>2</v>
      </c>
      <c r="F155">
        <v>15</v>
      </c>
      <c r="G155" t="b">
        <v>0</v>
      </c>
      <c r="H155">
        <v>5</v>
      </c>
      <c r="I155">
        <v>2</v>
      </c>
      <c r="J155">
        <v>0.28000000000000003</v>
      </c>
      <c r="K155">
        <v>0.2727</v>
      </c>
      <c r="L155">
        <v>0.48</v>
      </c>
      <c r="M155">
        <v>0.25369999999999998</v>
      </c>
      <c r="N155">
        <v>9</v>
      </c>
      <c r="O155">
        <v>81</v>
      </c>
      <c r="P155">
        <v>90</v>
      </c>
    </row>
    <row r="156" spans="1:16" x14ac:dyDescent="0.3">
      <c r="A156">
        <v>774</v>
      </c>
      <c r="B156" s="1">
        <v>40578</v>
      </c>
      <c r="C156">
        <v>1</v>
      </c>
      <c r="D156">
        <v>0</v>
      </c>
      <c r="E156">
        <v>2</v>
      </c>
      <c r="F156">
        <v>16</v>
      </c>
      <c r="G156" t="b">
        <v>0</v>
      </c>
      <c r="H156">
        <v>5</v>
      </c>
      <c r="I156">
        <v>2</v>
      </c>
      <c r="J156">
        <v>0.3</v>
      </c>
      <c r="K156">
        <v>0.28789999999999999</v>
      </c>
      <c r="L156">
        <v>0.42</v>
      </c>
      <c r="M156">
        <v>0.22389999999999999</v>
      </c>
      <c r="N156">
        <v>8</v>
      </c>
      <c r="O156">
        <v>91</v>
      </c>
      <c r="P156">
        <v>99</v>
      </c>
    </row>
    <row r="157" spans="1:16" x14ac:dyDescent="0.3">
      <c r="A157">
        <v>775</v>
      </c>
      <c r="B157" s="1">
        <v>40578</v>
      </c>
      <c r="C157">
        <v>1</v>
      </c>
      <c r="D157">
        <v>0</v>
      </c>
      <c r="E157">
        <v>2</v>
      </c>
      <c r="F157">
        <v>17</v>
      </c>
      <c r="G157" t="b">
        <v>0</v>
      </c>
      <c r="H157">
        <v>5</v>
      </c>
      <c r="I157">
        <v>2</v>
      </c>
      <c r="J157">
        <v>0.26</v>
      </c>
      <c r="K157">
        <v>0.2727</v>
      </c>
      <c r="L157">
        <v>0.56000000000000005</v>
      </c>
      <c r="M157">
        <v>0.1343</v>
      </c>
      <c r="N157">
        <v>10</v>
      </c>
      <c r="O157">
        <v>195</v>
      </c>
      <c r="P157">
        <v>205</v>
      </c>
    </row>
    <row r="158" spans="1:16" x14ac:dyDescent="0.3">
      <c r="A158">
        <v>776</v>
      </c>
      <c r="B158" s="1">
        <v>40578</v>
      </c>
      <c r="C158">
        <v>1</v>
      </c>
      <c r="D158">
        <v>0</v>
      </c>
      <c r="E158">
        <v>2</v>
      </c>
      <c r="F158">
        <v>18</v>
      </c>
      <c r="G158" t="b">
        <v>0</v>
      </c>
      <c r="H158">
        <v>5</v>
      </c>
      <c r="I158">
        <v>2</v>
      </c>
      <c r="J158">
        <v>0.24</v>
      </c>
      <c r="K158">
        <v>0.2576</v>
      </c>
      <c r="L158">
        <v>0.6</v>
      </c>
      <c r="M158">
        <v>0.1045</v>
      </c>
      <c r="N158">
        <v>3</v>
      </c>
      <c r="O158">
        <v>152</v>
      </c>
      <c r="P158">
        <v>155</v>
      </c>
    </row>
    <row r="159" spans="1:16" x14ac:dyDescent="0.3">
      <c r="A159">
        <v>777</v>
      </c>
      <c r="B159" s="1">
        <v>40578</v>
      </c>
      <c r="C159">
        <v>1</v>
      </c>
      <c r="D159">
        <v>0</v>
      </c>
      <c r="E159">
        <v>2</v>
      </c>
      <c r="F159">
        <v>19</v>
      </c>
      <c r="G159" t="b">
        <v>0</v>
      </c>
      <c r="H159">
        <v>5</v>
      </c>
      <c r="I159">
        <v>2</v>
      </c>
      <c r="J159">
        <v>0.24</v>
      </c>
      <c r="K159">
        <v>0.2424</v>
      </c>
      <c r="L159">
        <v>0.65</v>
      </c>
      <c r="M159">
        <v>0.1343</v>
      </c>
      <c r="N159">
        <v>1</v>
      </c>
      <c r="O159">
        <v>102</v>
      </c>
      <c r="P159">
        <v>103</v>
      </c>
    </row>
    <row r="160" spans="1:16" x14ac:dyDescent="0.3">
      <c r="A160">
        <v>778</v>
      </c>
      <c r="B160" s="1">
        <v>40578</v>
      </c>
      <c r="C160">
        <v>1</v>
      </c>
      <c r="D160">
        <v>0</v>
      </c>
      <c r="E160">
        <v>2</v>
      </c>
      <c r="F160">
        <v>20</v>
      </c>
      <c r="G160" t="b">
        <v>0</v>
      </c>
      <c r="H160">
        <v>5</v>
      </c>
      <c r="I160">
        <v>2</v>
      </c>
      <c r="J160">
        <v>0.24</v>
      </c>
      <c r="K160">
        <v>0.2424</v>
      </c>
      <c r="L160">
        <v>0.65</v>
      </c>
      <c r="M160">
        <v>0.16420000000000001</v>
      </c>
      <c r="N160">
        <v>2</v>
      </c>
      <c r="O160">
        <v>69</v>
      </c>
      <c r="P160">
        <v>71</v>
      </c>
    </row>
    <row r="161" spans="1:16" x14ac:dyDescent="0.3">
      <c r="A161">
        <v>779</v>
      </c>
      <c r="B161" s="1">
        <v>40578</v>
      </c>
      <c r="C161">
        <v>1</v>
      </c>
      <c r="D161">
        <v>0</v>
      </c>
      <c r="E161">
        <v>2</v>
      </c>
      <c r="F161">
        <v>21</v>
      </c>
      <c r="G161" t="b">
        <v>0</v>
      </c>
      <c r="H161">
        <v>5</v>
      </c>
      <c r="I161">
        <v>2</v>
      </c>
      <c r="J161">
        <v>0.24</v>
      </c>
      <c r="K161">
        <v>0.2424</v>
      </c>
      <c r="L161">
        <v>0.7</v>
      </c>
      <c r="M161">
        <v>0.16420000000000001</v>
      </c>
      <c r="N161">
        <v>2</v>
      </c>
      <c r="O161">
        <v>41</v>
      </c>
      <c r="P161">
        <v>43</v>
      </c>
    </row>
    <row r="162" spans="1:16" x14ac:dyDescent="0.3">
      <c r="A162">
        <v>780</v>
      </c>
      <c r="B162" s="1">
        <v>40578</v>
      </c>
      <c r="C162">
        <v>1</v>
      </c>
      <c r="D162">
        <v>0</v>
      </c>
      <c r="E162">
        <v>2</v>
      </c>
      <c r="F162">
        <v>22</v>
      </c>
      <c r="G162" t="b">
        <v>0</v>
      </c>
      <c r="H162">
        <v>5</v>
      </c>
      <c r="I162">
        <v>2</v>
      </c>
      <c r="J162">
        <v>0.24</v>
      </c>
      <c r="K162">
        <v>0.2424</v>
      </c>
      <c r="L162">
        <v>0.65</v>
      </c>
      <c r="M162">
        <v>0.16420000000000001</v>
      </c>
      <c r="N162">
        <v>1</v>
      </c>
      <c r="O162">
        <v>45</v>
      </c>
      <c r="P162">
        <v>46</v>
      </c>
    </row>
    <row r="163" spans="1:16" x14ac:dyDescent="0.3">
      <c r="A163">
        <v>781</v>
      </c>
      <c r="B163" s="1">
        <v>40578</v>
      </c>
      <c r="C163">
        <v>1</v>
      </c>
      <c r="D163">
        <v>0</v>
      </c>
      <c r="E163">
        <v>2</v>
      </c>
      <c r="F163">
        <v>23</v>
      </c>
      <c r="G163" t="b">
        <v>0</v>
      </c>
      <c r="H163">
        <v>5</v>
      </c>
      <c r="I163">
        <v>2</v>
      </c>
      <c r="J163">
        <v>0.24</v>
      </c>
      <c r="K163">
        <v>0.2424</v>
      </c>
      <c r="L163">
        <v>0.7</v>
      </c>
      <c r="M163">
        <v>0.1343</v>
      </c>
      <c r="N163">
        <v>1</v>
      </c>
      <c r="O163">
        <v>30</v>
      </c>
      <c r="P163">
        <v>31</v>
      </c>
    </row>
    <row r="164" spans="1:16" x14ac:dyDescent="0.3">
      <c r="A164">
        <v>782</v>
      </c>
      <c r="B164" s="1">
        <v>40579</v>
      </c>
      <c r="C164">
        <v>1</v>
      </c>
      <c r="D164">
        <v>0</v>
      </c>
      <c r="E164">
        <v>2</v>
      </c>
      <c r="F164">
        <v>0</v>
      </c>
      <c r="G164" t="b">
        <v>0</v>
      </c>
      <c r="H164">
        <v>6</v>
      </c>
      <c r="I164">
        <v>2</v>
      </c>
      <c r="J164">
        <v>0.24</v>
      </c>
      <c r="K164">
        <v>0.2424</v>
      </c>
      <c r="L164">
        <v>0.7</v>
      </c>
      <c r="M164">
        <v>0.16420000000000001</v>
      </c>
      <c r="N164">
        <v>3</v>
      </c>
      <c r="O164">
        <v>36</v>
      </c>
      <c r="P164">
        <v>39</v>
      </c>
    </row>
    <row r="165" spans="1:16" x14ac:dyDescent="0.3">
      <c r="A165">
        <v>783</v>
      </c>
      <c r="B165" s="1">
        <v>40579</v>
      </c>
      <c r="C165">
        <v>1</v>
      </c>
      <c r="D165">
        <v>0</v>
      </c>
      <c r="E165">
        <v>2</v>
      </c>
      <c r="F165">
        <v>1</v>
      </c>
      <c r="G165" t="b">
        <v>0</v>
      </c>
      <c r="H165">
        <v>6</v>
      </c>
      <c r="I165">
        <v>2</v>
      </c>
      <c r="J165">
        <v>0.24</v>
      </c>
      <c r="K165">
        <v>0.2424</v>
      </c>
      <c r="L165">
        <v>0.65</v>
      </c>
      <c r="M165">
        <v>0.16420000000000001</v>
      </c>
      <c r="N165">
        <v>1</v>
      </c>
      <c r="O165">
        <v>17</v>
      </c>
      <c r="P165">
        <v>18</v>
      </c>
    </row>
    <row r="166" spans="1:16" x14ac:dyDescent="0.3">
      <c r="A166">
        <v>784</v>
      </c>
      <c r="B166" s="1">
        <v>40579</v>
      </c>
      <c r="C166">
        <v>1</v>
      </c>
      <c r="D166">
        <v>0</v>
      </c>
      <c r="E166">
        <v>2</v>
      </c>
      <c r="F166">
        <v>2</v>
      </c>
      <c r="G166" t="b">
        <v>0</v>
      </c>
      <c r="H166">
        <v>6</v>
      </c>
      <c r="I166">
        <v>2</v>
      </c>
      <c r="J166">
        <v>0.24</v>
      </c>
      <c r="K166">
        <v>0.2424</v>
      </c>
      <c r="L166">
        <v>0.75</v>
      </c>
      <c r="M166">
        <v>0.16420000000000001</v>
      </c>
      <c r="N166">
        <v>5</v>
      </c>
      <c r="O166">
        <v>12</v>
      </c>
      <c r="P166">
        <v>17</v>
      </c>
    </row>
    <row r="167" spans="1:16" x14ac:dyDescent="0.3">
      <c r="A167">
        <v>785</v>
      </c>
      <c r="B167" s="1">
        <v>40579</v>
      </c>
      <c r="C167">
        <v>1</v>
      </c>
      <c r="D167">
        <v>0</v>
      </c>
      <c r="E167">
        <v>2</v>
      </c>
      <c r="F167">
        <v>3</v>
      </c>
      <c r="G167" t="b">
        <v>0</v>
      </c>
      <c r="H167">
        <v>6</v>
      </c>
      <c r="I167">
        <v>2</v>
      </c>
      <c r="J167">
        <v>0.24</v>
      </c>
      <c r="K167">
        <v>0.2424</v>
      </c>
      <c r="L167">
        <v>0.75</v>
      </c>
      <c r="M167">
        <v>0.16420000000000001</v>
      </c>
      <c r="N167">
        <v>1</v>
      </c>
      <c r="O167">
        <v>10</v>
      </c>
      <c r="P167">
        <v>11</v>
      </c>
    </row>
    <row r="168" spans="1:16" x14ac:dyDescent="0.3">
      <c r="A168">
        <v>786</v>
      </c>
      <c r="B168" s="1">
        <v>40579</v>
      </c>
      <c r="C168">
        <v>1</v>
      </c>
      <c r="D168">
        <v>0</v>
      </c>
      <c r="E168">
        <v>2</v>
      </c>
      <c r="F168">
        <v>4</v>
      </c>
      <c r="G168" t="b">
        <v>0</v>
      </c>
      <c r="H168">
        <v>6</v>
      </c>
      <c r="I168">
        <v>3</v>
      </c>
      <c r="J168">
        <v>0.22</v>
      </c>
      <c r="K168">
        <v>0.2273</v>
      </c>
      <c r="L168">
        <v>0.93</v>
      </c>
      <c r="M168">
        <v>0.1343</v>
      </c>
      <c r="N168">
        <v>0</v>
      </c>
      <c r="O168">
        <v>8</v>
      </c>
      <c r="P168">
        <v>8</v>
      </c>
    </row>
    <row r="169" spans="1:16" x14ac:dyDescent="0.3">
      <c r="A169">
        <v>787</v>
      </c>
      <c r="B169" s="1">
        <v>40579</v>
      </c>
      <c r="C169">
        <v>1</v>
      </c>
      <c r="D169">
        <v>0</v>
      </c>
      <c r="E169">
        <v>2</v>
      </c>
      <c r="F169">
        <v>5</v>
      </c>
      <c r="G169" t="b">
        <v>0</v>
      </c>
      <c r="H169">
        <v>6</v>
      </c>
      <c r="I169">
        <v>3</v>
      </c>
      <c r="J169">
        <v>0.2</v>
      </c>
      <c r="K169">
        <v>0.2273</v>
      </c>
      <c r="L169">
        <v>1</v>
      </c>
      <c r="M169">
        <v>8.9599999999999999E-2</v>
      </c>
      <c r="N169">
        <v>0</v>
      </c>
      <c r="O169">
        <v>9</v>
      </c>
      <c r="P169">
        <v>9</v>
      </c>
    </row>
    <row r="170" spans="1:16" x14ac:dyDescent="0.3">
      <c r="A170">
        <v>788</v>
      </c>
      <c r="B170" s="1">
        <v>40579</v>
      </c>
      <c r="C170">
        <v>1</v>
      </c>
      <c r="D170">
        <v>0</v>
      </c>
      <c r="E170">
        <v>2</v>
      </c>
      <c r="F170">
        <v>6</v>
      </c>
      <c r="G170" t="b">
        <v>0</v>
      </c>
      <c r="H170">
        <v>6</v>
      </c>
      <c r="I170">
        <v>3</v>
      </c>
      <c r="J170">
        <v>0.2</v>
      </c>
      <c r="K170">
        <v>0.2576</v>
      </c>
      <c r="L170">
        <v>1</v>
      </c>
      <c r="M170">
        <v>0</v>
      </c>
      <c r="N170">
        <v>0</v>
      </c>
      <c r="O170">
        <v>4</v>
      </c>
      <c r="P170">
        <v>4</v>
      </c>
    </row>
    <row r="171" spans="1:16" x14ac:dyDescent="0.3">
      <c r="A171">
        <v>789</v>
      </c>
      <c r="B171" s="1">
        <v>40579</v>
      </c>
      <c r="C171">
        <v>1</v>
      </c>
      <c r="D171">
        <v>0</v>
      </c>
      <c r="E171">
        <v>2</v>
      </c>
      <c r="F171">
        <v>7</v>
      </c>
      <c r="G171" t="b">
        <v>0</v>
      </c>
      <c r="H171">
        <v>6</v>
      </c>
      <c r="I171">
        <v>3</v>
      </c>
      <c r="J171">
        <v>0.22</v>
      </c>
      <c r="K171">
        <v>0.2576</v>
      </c>
      <c r="L171">
        <v>0.93</v>
      </c>
      <c r="M171">
        <v>8.9599999999999999E-2</v>
      </c>
      <c r="N171">
        <v>0</v>
      </c>
      <c r="O171">
        <v>4</v>
      </c>
      <c r="P171">
        <v>4</v>
      </c>
    </row>
    <row r="172" spans="1:16" x14ac:dyDescent="0.3">
      <c r="A172">
        <v>790</v>
      </c>
      <c r="B172" s="1">
        <v>40579</v>
      </c>
      <c r="C172">
        <v>1</v>
      </c>
      <c r="D172">
        <v>0</v>
      </c>
      <c r="E172">
        <v>2</v>
      </c>
      <c r="F172">
        <v>8</v>
      </c>
      <c r="G172" t="b">
        <v>0</v>
      </c>
      <c r="H172">
        <v>6</v>
      </c>
      <c r="I172">
        <v>3</v>
      </c>
      <c r="J172">
        <v>0.2</v>
      </c>
      <c r="K172">
        <v>0.2273</v>
      </c>
      <c r="L172">
        <v>1</v>
      </c>
      <c r="M172">
        <v>8.9599999999999999E-2</v>
      </c>
      <c r="N172">
        <v>0</v>
      </c>
      <c r="O172">
        <v>10</v>
      </c>
      <c r="P172">
        <v>10</v>
      </c>
    </row>
    <row r="173" spans="1:16" x14ac:dyDescent="0.3">
      <c r="A173">
        <v>791</v>
      </c>
      <c r="B173" s="1">
        <v>40579</v>
      </c>
      <c r="C173">
        <v>1</v>
      </c>
      <c r="D173">
        <v>0</v>
      </c>
      <c r="E173">
        <v>2</v>
      </c>
      <c r="F173">
        <v>9</v>
      </c>
      <c r="G173" t="b">
        <v>0</v>
      </c>
      <c r="H173">
        <v>6</v>
      </c>
      <c r="I173">
        <v>3</v>
      </c>
      <c r="J173">
        <v>0.2</v>
      </c>
      <c r="K173">
        <v>0.2273</v>
      </c>
      <c r="L173">
        <v>1</v>
      </c>
      <c r="M173">
        <v>8.9599999999999999E-2</v>
      </c>
      <c r="N173">
        <v>3</v>
      </c>
      <c r="O173">
        <v>17</v>
      </c>
      <c r="P173">
        <v>20</v>
      </c>
    </row>
    <row r="174" spans="1:16" x14ac:dyDescent="0.3">
      <c r="A174">
        <v>792</v>
      </c>
      <c r="B174" s="1">
        <v>40579</v>
      </c>
      <c r="C174">
        <v>1</v>
      </c>
      <c r="D174">
        <v>0</v>
      </c>
      <c r="E174">
        <v>2</v>
      </c>
      <c r="F174">
        <v>10</v>
      </c>
      <c r="G174" t="b">
        <v>0</v>
      </c>
      <c r="H174">
        <v>6</v>
      </c>
      <c r="I174">
        <v>3</v>
      </c>
      <c r="J174">
        <v>0.2</v>
      </c>
      <c r="K174">
        <v>0.21210000000000001</v>
      </c>
      <c r="L174">
        <v>1</v>
      </c>
      <c r="M174">
        <v>0.1343</v>
      </c>
      <c r="N174">
        <v>3</v>
      </c>
      <c r="O174">
        <v>31</v>
      </c>
      <c r="P174">
        <v>34</v>
      </c>
    </row>
    <row r="175" spans="1:16" x14ac:dyDescent="0.3">
      <c r="A175">
        <v>793</v>
      </c>
      <c r="B175" s="1">
        <v>40579</v>
      </c>
      <c r="C175">
        <v>1</v>
      </c>
      <c r="D175">
        <v>0</v>
      </c>
      <c r="E175">
        <v>2</v>
      </c>
      <c r="F175">
        <v>11</v>
      </c>
      <c r="G175" t="b">
        <v>0</v>
      </c>
      <c r="H175">
        <v>6</v>
      </c>
      <c r="I175">
        <v>3</v>
      </c>
      <c r="J175">
        <v>0.22</v>
      </c>
      <c r="K175">
        <v>0.2273</v>
      </c>
      <c r="L175">
        <v>1</v>
      </c>
      <c r="M175">
        <v>0.1343</v>
      </c>
      <c r="N175">
        <v>1</v>
      </c>
      <c r="O175">
        <v>46</v>
      </c>
      <c r="P175">
        <v>47</v>
      </c>
    </row>
    <row r="176" spans="1:16" x14ac:dyDescent="0.3">
      <c r="A176">
        <v>794</v>
      </c>
      <c r="B176" s="1">
        <v>40579</v>
      </c>
      <c r="C176">
        <v>1</v>
      </c>
      <c r="D176">
        <v>0</v>
      </c>
      <c r="E176">
        <v>2</v>
      </c>
      <c r="F176">
        <v>12</v>
      </c>
      <c r="G176" t="b">
        <v>0</v>
      </c>
      <c r="H176">
        <v>6</v>
      </c>
      <c r="I176">
        <v>3</v>
      </c>
      <c r="J176">
        <v>0.22</v>
      </c>
      <c r="K176">
        <v>0.2273</v>
      </c>
      <c r="L176">
        <v>1</v>
      </c>
      <c r="M176">
        <v>0.16420000000000001</v>
      </c>
      <c r="N176">
        <v>10</v>
      </c>
      <c r="O176">
        <v>42</v>
      </c>
      <c r="P176">
        <v>52</v>
      </c>
    </row>
    <row r="177" spans="1:16" x14ac:dyDescent="0.3">
      <c r="A177">
        <v>795</v>
      </c>
      <c r="B177" s="1">
        <v>40579</v>
      </c>
      <c r="C177">
        <v>1</v>
      </c>
      <c r="D177">
        <v>0</v>
      </c>
      <c r="E177">
        <v>2</v>
      </c>
      <c r="F177">
        <v>13</v>
      </c>
      <c r="G177" t="b">
        <v>0</v>
      </c>
      <c r="H177">
        <v>6</v>
      </c>
      <c r="I177">
        <v>3</v>
      </c>
      <c r="J177">
        <v>0.22</v>
      </c>
      <c r="K177">
        <v>0.2273</v>
      </c>
      <c r="L177">
        <v>1</v>
      </c>
      <c r="M177">
        <v>0.16420000000000001</v>
      </c>
      <c r="N177">
        <v>10</v>
      </c>
      <c r="O177">
        <v>62</v>
      </c>
      <c r="P177">
        <v>72</v>
      </c>
    </row>
    <row r="178" spans="1:16" x14ac:dyDescent="0.3">
      <c r="A178">
        <v>796</v>
      </c>
      <c r="B178" s="1">
        <v>40579</v>
      </c>
      <c r="C178">
        <v>1</v>
      </c>
      <c r="D178">
        <v>0</v>
      </c>
      <c r="E178">
        <v>2</v>
      </c>
      <c r="F178">
        <v>14</v>
      </c>
      <c r="G178" t="b">
        <v>0</v>
      </c>
      <c r="H178">
        <v>6</v>
      </c>
      <c r="I178">
        <v>3</v>
      </c>
      <c r="J178">
        <v>0.22</v>
      </c>
      <c r="K178">
        <v>0.2727</v>
      </c>
      <c r="L178">
        <v>1</v>
      </c>
      <c r="M178">
        <v>0</v>
      </c>
      <c r="N178">
        <v>5</v>
      </c>
      <c r="O178">
        <v>50</v>
      </c>
      <c r="P178">
        <v>55</v>
      </c>
    </row>
    <row r="179" spans="1:16" x14ac:dyDescent="0.3">
      <c r="A179">
        <v>797</v>
      </c>
      <c r="B179" s="1">
        <v>40579</v>
      </c>
      <c r="C179">
        <v>1</v>
      </c>
      <c r="D179">
        <v>0</v>
      </c>
      <c r="E179">
        <v>2</v>
      </c>
      <c r="F179">
        <v>15</v>
      </c>
      <c r="G179" t="b">
        <v>0</v>
      </c>
      <c r="H179">
        <v>6</v>
      </c>
      <c r="I179">
        <v>3</v>
      </c>
      <c r="J179">
        <v>0.22</v>
      </c>
      <c r="K179">
        <v>0.2727</v>
      </c>
      <c r="L179">
        <v>1</v>
      </c>
      <c r="M179">
        <v>0</v>
      </c>
      <c r="N179">
        <v>11</v>
      </c>
      <c r="O179">
        <v>49</v>
      </c>
      <c r="P179">
        <v>60</v>
      </c>
    </row>
    <row r="180" spans="1:16" x14ac:dyDescent="0.3">
      <c r="A180">
        <v>798</v>
      </c>
      <c r="B180" s="1">
        <v>40579</v>
      </c>
      <c r="C180">
        <v>1</v>
      </c>
      <c r="D180">
        <v>0</v>
      </c>
      <c r="E180">
        <v>2</v>
      </c>
      <c r="F180">
        <v>16</v>
      </c>
      <c r="G180" t="b">
        <v>0</v>
      </c>
      <c r="H180">
        <v>6</v>
      </c>
      <c r="I180">
        <v>3</v>
      </c>
      <c r="J180">
        <v>0.22</v>
      </c>
      <c r="K180">
        <v>0.2273</v>
      </c>
      <c r="L180">
        <v>1</v>
      </c>
      <c r="M180">
        <v>0.1343</v>
      </c>
      <c r="N180">
        <v>8</v>
      </c>
      <c r="O180">
        <v>63</v>
      </c>
      <c r="P180">
        <v>71</v>
      </c>
    </row>
    <row r="181" spans="1:16" x14ac:dyDescent="0.3">
      <c r="A181">
        <v>799</v>
      </c>
      <c r="B181" s="1">
        <v>40579</v>
      </c>
      <c r="C181">
        <v>1</v>
      </c>
      <c r="D181">
        <v>0</v>
      </c>
      <c r="E181">
        <v>2</v>
      </c>
      <c r="F181">
        <v>17</v>
      </c>
      <c r="G181" t="b">
        <v>0</v>
      </c>
      <c r="H181">
        <v>6</v>
      </c>
      <c r="I181">
        <v>2</v>
      </c>
      <c r="J181">
        <v>0.24</v>
      </c>
      <c r="K181">
        <v>0.21210000000000001</v>
      </c>
      <c r="L181">
        <v>1</v>
      </c>
      <c r="M181">
        <v>0.28360000000000002</v>
      </c>
      <c r="N181">
        <v>14</v>
      </c>
      <c r="O181">
        <v>64</v>
      </c>
      <c r="P181">
        <v>78</v>
      </c>
    </row>
    <row r="182" spans="1:16" x14ac:dyDescent="0.3">
      <c r="A182">
        <v>800</v>
      </c>
      <c r="B182" s="1">
        <v>40579</v>
      </c>
      <c r="C182">
        <v>1</v>
      </c>
      <c r="D182">
        <v>0</v>
      </c>
      <c r="E182">
        <v>2</v>
      </c>
      <c r="F182">
        <v>18</v>
      </c>
      <c r="G182" t="b">
        <v>0</v>
      </c>
      <c r="H182">
        <v>6</v>
      </c>
      <c r="I182">
        <v>2</v>
      </c>
      <c r="J182">
        <v>0.28000000000000003</v>
      </c>
      <c r="K182">
        <v>0.2424</v>
      </c>
      <c r="L182">
        <v>0.93</v>
      </c>
      <c r="M182">
        <v>0.44779999999999998</v>
      </c>
      <c r="N182">
        <v>2</v>
      </c>
      <c r="O182">
        <v>81</v>
      </c>
      <c r="P182">
        <v>83</v>
      </c>
    </row>
    <row r="183" spans="1:16" x14ac:dyDescent="0.3">
      <c r="A183">
        <v>801</v>
      </c>
      <c r="B183" s="1">
        <v>40579</v>
      </c>
      <c r="C183">
        <v>1</v>
      </c>
      <c r="D183">
        <v>0</v>
      </c>
      <c r="E183">
        <v>2</v>
      </c>
      <c r="F183">
        <v>19</v>
      </c>
      <c r="G183" t="b">
        <v>0</v>
      </c>
      <c r="H183">
        <v>6</v>
      </c>
      <c r="I183">
        <v>2</v>
      </c>
      <c r="J183">
        <v>0.28000000000000003</v>
      </c>
      <c r="K183">
        <v>0.2424</v>
      </c>
      <c r="L183">
        <v>0.93</v>
      </c>
      <c r="M183">
        <v>0.44779999999999998</v>
      </c>
      <c r="N183">
        <v>6</v>
      </c>
      <c r="O183">
        <v>78</v>
      </c>
      <c r="P183">
        <v>84</v>
      </c>
    </row>
    <row r="184" spans="1:16" x14ac:dyDescent="0.3">
      <c r="A184">
        <v>802</v>
      </c>
      <c r="B184" s="1">
        <v>40579</v>
      </c>
      <c r="C184">
        <v>1</v>
      </c>
      <c r="D184">
        <v>0</v>
      </c>
      <c r="E184">
        <v>2</v>
      </c>
      <c r="F184">
        <v>20</v>
      </c>
      <c r="G184" t="b">
        <v>0</v>
      </c>
      <c r="H184">
        <v>6</v>
      </c>
      <c r="I184">
        <v>1</v>
      </c>
      <c r="J184">
        <v>0.3</v>
      </c>
      <c r="K184">
        <v>0.28789999999999999</v>
      </c>
      <c r="L184">
        <v>0.87</v>
      </c>
      <c r="M184">
        <v>0.25369999999999998</v>
      </c>
      <c r="N184">
        <v>5</v>
      </c>
      <c r="O184">
        <v>64</v>
      </c>
      <c r="P184">
        <v>69</v>
      </c>
    </row>
    <row r="185" spans="1:16" x14ac:dyDescent="0.3">
      <c r="A185">
        <v>803</v>
      </c>
      <c r="B185" s="1">
        <v>40579</v>
      </c>
      <c r="C185">
        <v>1</v>
      </c>
      <c r="D185">
        <v>0</v>
      </c>
      <c r="E185">
        <v>2</v>
      </c>
      <c r="F185">
        <v>21</v>
      </c>
      <c r="G185" t="b">
        <v>0</v>
      </c>
      <c r="H185">
        <v>6</v>
      </c>
      <c r="I185">
        <v>1</v>
      </c>
      <c r="J185">
        <v>0.26</v>
      </c>
      <c r="K185">
        <v>0.2576</v>
      </c>
      <c r="L185">
        <v>1</v>
      </c>
      <c r="M185">
        <v>0.19400000000000001</v>
      </c>
      <c r="N185">
        <v>3</v>
      </c>
      <c r="O185">
        <v>53</v>
      </c>
      <c r="P185">
        <v>56</v>
      </c>
    </row>
    <row r="186" spans="1:16" x14ac:dyDescent="0.3">
      <c r="A186">
        <v>804</v>
      </c>
      <c r="B186" s="1">
        <v>40579</v>
      </c>
      <c r="C186">
        <v>1</v>
      </c>
      <c r="D186">
        <v>0</v>
      </c>
      <c r="E186">
        <v>2</v>
      </c>
      <c r="F186">
        <v>22</v>
      </c>
      <c r="G186" t="b">
        <v>0</v>
      </c>
      <c r="H186">
        <v>6</v>
      </c>
      <c r="I186">
        <v>1</v>
      </c>
      <c r="J186">
        <v>0.26</v>
      </c>
      <c r="K186">
        <v>0.2727</v>
      </c>
      <c r="L186">
        <v>0.93</v>
      </c>
      <c r="M186">
        <v>0.1343</v>
      </c>
      <c r="N186">
        <v>2</v>
      </c>
      <c r="O186">
        <v>43</v>
      </c>
      <c r="P186">
        <v>45</v>
      </c>
    </row>
    <row r="187" spans="1:16" x14ac:dyDescent="0.3">
      <c r="A187">
        <v>805</v>
      </c>
      <c r="B187" s="1">
        <v>40579</v>
      </c>
      <c r="C187">
        <v>1</v>
      </c>
      <c r="D187">
        <v>0</v>
      </c>
      <c r="E187">
        <v>2</v>
      </c>
      <c r="F187">
        <v>23</v>
      </c>
      <c r="G187" t="b">
        <v>0</v>
      </c>
      <c r="H187">
        <v>6</v>
      </c>
      <c r="I187">
        <v>1</v>
      </c>
      <c r="J187">
        <v>0.26</v>
      </c>
      <c r="K187">
        <v>0.2576</v>
      </c>
      <c r="L187">
        <v>0.93</v>
      </c>
      <c r="M187">
        <v>0.22389999999999999</v>
      </c>
      <c r="N187">
        <v>7</v>
      </c>
      <c r="O187">
        <v>52</v>
      </c>
      <c r="P187">
        <v>59</v>
      </c>
    </row>
    <row r="188" spans="1:16" x14ac:dyDescent="0.3">
      <c r="A188">
        <v>806</v>
      </c>
      <c r="B188" s="1">
        <v>40580</v>
      </c>
      <c r="C188">
        <v>1</v>
      </c>
      <c r="D188">
        <v>0</v>
      </c>
      <c r="E188">
        <v>2</v>
      </c>
      <c r="F188">
        <v>0</v>
      </c>
      <c r="G188" t="b">
        <v>0</v>
      </c>
      <c r="H188">
        <v>0</v>
      </c>
      <c r="I188">
        <v>1</v>
      </c>
      <c r="J188">
        <v>0.26</v>
      </c>
      <c r="K188">
        <v>0.2576</v>
      </c>
      <c r="L188">
        <v>0.7</v>
      </c>
      <c r="M188">
        <v>0.19400000000000001</v>
      </c>
      <c r="N188">
        <v>2</v>
      </c>
      <c r="O188">
        <v>37</v>
      </c>
      <c r="P188">
        <v>39</v>
      </c>
    </row>
    <row r="189" spans="1:16" x14ac:dyDescent="0.3">
      <c r="A189">
        <v>807</v>
      </c>
      <c r="B189" s="1">
        <v>40580</v>
      </c>
      <c r="C189">
        <v>1</v>
      </c>
      <c r="D189">
        <v>0</v>
      </c>
      <c r="E189">
        <v>2</v>
      </c>
      <c r="F189">
        <v>1</v>
      </c>
      <c r="G189" t="b">
        <v>0</v>
      </c>
      <c r="H189">
        <v>0</v>
      </c>
      <c r="I189">
        <v>1</v>
      </c>
      <c r="J189">
        <v>0.26</v>
      </c>
      <c r="K189">
        <v>0.2273</v>
      </c>
      <c r="L189">
        <v>0.65</v>
      </c>
      <c r="M189">
        <v>0.41789999999999999</v>
      </c>
      <c r="N189">
        <v>4</v>
      </c>
      <c r="O189">
        <v>40</v>
      </c>
      <c r="P189">
        <v>44</v>
      </c>
    </row>
    <row r="190" spans="1:16" x14ac:dyDescent="0.3">
      <c r="A190">
        <v>808</v>
      </c>
      <c r="B190" s="1">
        <v>40580</v>
      </c>
      <c r="C190">
        <v>1</v>
      </c>
      <c r="D190">
        <v>0</v>
      </c>
      <c r="E190">
        <v>2</v>
      </c>
      <c r="F190">
        <v>2</v>
      </c>
      <c r="G190" t="b">
        <v>0</v>
      </c>
      <c r="H190">
        <v>0</v>
      </c>
      <c r="I190">
        <v>1</v>
      </c>
      <c r="J190">
        <v>0.26</v>
      </c>
      <c r="K190">
        <v>0.2273</v>
      </c>
      <c r="L190">
        <v>0.6</v>
      </c>
      <c r="M190">
        <v>0.32840000000000003</v>
      </c>
      <c r="N190">
        <v>0</v>
      </c>
      <c r="O190">
        <v>20</v>
      </c>
      <c r="P190">
        <v>20</v>
      </c>
    </row>
    <row r="191" spans="1:16" x14ac:dyDescent="0.3">
      <c r="A191">
        <v>809</v>
      </c>
      <c r="B191" s="1">
        <v>40580</v>
      </c>
      <c r="C191">
        <v>1</v>
      </c>
      <c r="D191">
        <v>0</v>
      </c>
      <c r="E191">
        <v>2</v>
      </c>
      <c r="F191">
        <v>3</v>
      </c>
      <c r="G191" t="b">
        <v>0</v>
      </c>
      <c r="H191">
        <v>0</v>
      </c>
      <c r="I191">
        <v>1</v>
      </c>
      <c r="J191">
        <v>0.26</v>
      </c>
      <c r="K191">
        <v>0.28789999999999999</v>
      </c>
      <c r="L191">
        <v>0.6</v>
      </c>
      <c r="M191">
        <v>8.9599999999999999E-2</v>
      </c>
      <c r="N191">
        <v>3</v>
      </c>
      <c r="O191">
        <v>10</v>
      </c>
      <c r="P191">
        <v>13</v>
      </c>
    </row>
    <row r="192" spans="1:16" x14ac:dyDescent="0.3">
      <c r="A192">
        <v>810</v>
      </c>
      <c r="B192" s="1">
        <v>40580</v>
      </c>
      <c r="C192">
        <v>1</v>
      </c>
      <c r="D192">
        <v>0</v>
      </c>
      <c r="E192">
        <v>2</v>
      </c>
      <c r="F192">
        <v>4</v>
      </c>
      <c r="G192" t="b">
        <v>0</v>
      </c>
      <c r="H192">
        <v>0</v>
      </c>
      <c r="I192">
        <v>1</v>
      </c>
      <c r="J192">
        <v>0.26</v>
      </c>
      <c r="K192">
        <v>0.2273</v>
      </c>
      <c r="L192">
        <v>0.6</v>
      </c>
      <c r="M192">
        <v>0.35820000000000002</v>
      </c>
      <c r="N192">
        <v>0</v>
      </c>
      <c r="O192">
        <v>2</v>
      </c>
      <c r="P192">
        <v>2</v>
      </c>
    </row>
    <row r="193" spans="1:16" x14ac:dyDescent="0.3">
      <c r="A193">
        <v>811</v>
      </c>
      <c r="B193" s="1">
        <v>40580</v>
      </c>
      <c r="C193">
        <v>1</v>
      </c>
      <c r="D193">
        <v>0</v>
      </c>
      <c r="E193">
        <v>2</v>
      </c>
      <c r="F193">
        <v>5</v>
      </c>
      <c r="G193" t="b">
        <v>0</v>
      </c>
      <c r="H193">
        <v>0</v>
      </c>
      <c r="I193">
        <v>1</v>
      </c>
      <c r="J193">
        <v>0.26</v>
      </c>
      <c r="K193">
        <v>0.2576</v>
      </c>
      <c r="L193">
        <v>0.6</v>
      </c>
      <c r="M193">
        <v>0.22389999999999999</v>
      </c>
      <c r="N193">
        <v>0</v>
      </c>
      <c r="O193">
        <v>1</v>
      </c>
      <c r="P193">
        <v>1</v>
      </c>
    </row>
    <row r="194" spans="1:16" x14ac:dyDescent="0.3">
      <c r="A194">
        <v>812</v>
      </c>
      <c r="B194" s="1">
        <v>40580</v>
      </c>
      <c r="C194">
        <v>1</v>
      </c>
      <c r="D194">
        <v>0</v>
      </c>
      <c r="E194">
        <v>2</v>
      </c>
      <c r="F194">
        <v>6</v>
      </c>
      <c r="G194" t="b">
        <v>0</v>
      </c>
      <c r="H194">
        <v>0</v>
      </c>
      <c r="I194">
        <v>1</v>
      </c>
      <c r="J194">
        <v>0.26</v>
      </c>
      <c r="K194">
        <v>0.2576</v>
      </c>
      <c r="L194">
        <v>0.6</v>
      </c>
      <c r="M194">
        <v>0.22389999999999999</v>
      </c>
      <c r="N194">
        <v>0</v>
      </c>
      <c r="O194">
        <v>1</v>
      </c>
      <c r="P194">
        <v>1</v>
      </c>
    </row>
    <row r="195" spans="1:16" x14ac:dyDescent="0.3">
      <c r="A195">
        <v>813</v>
      </c>
      <c r="B195" s="1">
        <v>40580</v>
      </c>
      <c r="C195">
        <v>1</v>
      </c>
      <c r="D195">
        <v>0</v>
      </c>
      <c r="E195">
        <v>2</v>
      </c>
      <c r="F195">
        <v>7</v>
      </c>
      <c r="G195" t="b">
        <v>0</v>
      </c>
      <c r="H195">
        <v>0</v>
      </c>
      <c r="I195">
        <v>1</v>
      </c>
      <c r="J195">
        <v>0.24</v>
      </c>
      <c r="K195">
        <v>0.2424</v>
      </c>
      <c r="L195">
        <v>0.65</v>
      </c>
      <c r="M195">
        <v>0.16420000000000001</v>
      </c>
      <c r="N195">
        <v>0</v>
      </c>
      <c r="O195">
        <v>8</v>
      </c>
      <c r="P195">
        <v>8</v>
      </c>
    </row>
    <row r="196" spans="1:16" x14ac:dyDescent="0.3">
      <c r="A196">
        <v>814</v>
      </c>
      <c r="B196" s="1">
        <v>40580</v>
      </c>
      <c r="C196">
        <v>1</v>
      </c>
      <c r="D196">
        <v>0</v>
      </c>
      <c r="E196">
        <v>2</v>
      </c>
      <c r="F196">
        <v>8</v>
      </c>
      <c r="G196" t="b">
        <v>0</v>
      </c>
      <c r="H196">
        <v>0</v>
      </c>
      <c r="I196">
        <v>1</v>
      </c>
      <c r="J196">
        <v>0.24</v>
      </c>
      <c r="K196">
        <v>0.2576</v>
      </c>
      <c r="L196">
        <v>0.65</v>
      </c>
      <c r="M196">
        <v>0.1045</v>
      </c>
      <c r="N196">
        <v>2</v>
      </c>
      <c r="O196">
        <v>21</v>
      </c>
      <c r="P196">
        <v>23</v>
      </c>
    </row>
    <row r="197" spans="1:16" x14ac:dyDescent="0.3">
      <c r="A197">
        <v>815</v>
      </c>
      <c r="B197" s="1">
        <v>40580</v>
      </c>
      <c r="C197">
        <v>1</v>
      </c>
      <c r="D197">
        <v>0</v>
      </c>
      <c r="E197">
        <v>2</v>
      </c>
      <c r="F197">
        <v>9</v>
      </c>
      <c r="G197" t="b">
        <v>0</v>
      </c>
      <c r="H197">
        <v>0</v>
      </c>
      <c r="I197">
        <v>1</v>
      </c>
      <c r="J197">
        <v>0.28000000000000003</v>
      </c>
      <c r="K197">
        <v>0.28789999999999999</v>
      </c>
      <c r="L197">
        <v>0.56000000000000005</v>
      </c>
      <c r="M197">
        <v>0.1045</v>
      </c>
      <c r="N197">
        <v>7</v>
      </c>
      <c r="O197">
        <v>38</v>
      </c>
      <c r="P197">
        <v>45</v>
      </c>
    </row>
    <row r="198" spans="1:16" x14ac:dyDescent="0.3">
      <c r="A198">
        <v>816</v>
      </c>
      <c r="B198" s="1">
        <v>40580</v>
      </c>
      <c r="C198">
        <v>1</v>
      </c>
      <c r="D198">
        <v>0</v>
      </c>
      <c r="E198">
        <v>2</v>
      </c>
      <c r="F198">
        <v>10</v>
      </c>
      <c r="G198" t="b">
        <v>0</v>
      </c>
      <c r="H198">
        <v>0</v>
      </c>
      <c r="I198">
        <v>1</v>
      </c>
      <c r="J198">
        <v>0.3</v>
      </c>
      <c r="K198">
        <v>0.28789999999999999</v>
      </c>
      <c r="L198">
        <v>0.52</v>
      </c>
      <c r="M198">
        <v>0.25369999999999998</v>
      </c>
      <c r="N198">
        <v>15</v>
      </c>
      <c r="O198">
        <v>74</v>
      </c>
      <c r="P198">
        <v>89</v>
      </c>
    </row>
    <row r="199" spans="1:16" x14ac:dyDescent="0.3">
      <c r="A199">
        <v>817</v>
      </c>
      <c r="B199" s="1">
        <v>40580</v>
      </c>
      <c r="C199">
        <v>1</v>
      </c>
      <c r="D199">
        <v>0</v>
      </c>
      <c r="E199">
        <v>2</v>
      </c>
      <c r="F199">
        <v>11</v>
      </c>
      <c r="G199" t="b">
        <v>0</v>
      </c>
      <c r="H199">
        <v>0</v>
      </c>
      <c r="I199">
        <v>1</v>
      </c>
      <c r="J199">
        <v>0.32</v>
      </c>
      <c r="K199">
        <v>0.30299999999999999</v>
      </c>
      <c r="L199">
        <v>0.49</v>
      </c>
      <c r="M199">
        <v>0.25369999999999998</v>
      </c>
      <c r="N199">
        <v>28</v>
      </c>
      <c r="O199">
        <v>89</v>
      </c>
      <c r="P199">
        <v>117</v>
      </c>
    </row>
    <row r="200" spans="1:16" x14ac:dyDescent="0.3">
      <c r="A200">
        <v>818</v>
      </c>
      <c r="B200" s="1">
        <v>40580</v>
      </c>
      <c r="C200">
        <v>1</v>
      </c>
      <c r="D200">
        <v>0</v>
      </c>
      <c r="E200">
        <v>2</v>
      </c>
      <c r="F200">
        <v>12</v>
      </c>
      <c r="G200" t="b">
        <v>0</v>
      </c>
      <c r="H200">
        <v>0</v>
      </c>
      <c r="I200">
        <v>1</v>
      </c>
      <c r="J200">
        <v>0.34</v>
      </c>
      <c r="K200">
        <v>0.33329999999999999</v>
      </c>
      <c r="L200">
        <v>0.46</v>
      </c>
      <c r="M200">
        <v>0</v>
      </c>
      <c r="N200">
        <v>48</v>
      </c>
      <c r="O200">
        <v>126</v>
      </c>
      <c r="P200">
        <v>174</v>
      </c>
    </row>
    <row r="201" spans="1:16" x14ac:dyDescent="0.3">
      <c r="A201">
        <v>819</v>
      </c>
      <c r="B201" s="1">
        <v>40580</v>
      </c>
      <c r="C201">
        <v>1</v>
      </c>
      <c r="D201">
        <v>0</v>
      </c>
      <c r="E201">
        <v>2</v>
      </c>
      <c r="F201">
        <v>13</v>
      </c>
      <c r="G201" t="b">
        <v>0</v>
      </c>
      <c r="H201">
        <v>0</v>
      </c>
      <c r="I201">
        <v>1</v>
      </c>
      <c r="J201">
        <v>0.34</v>
      </c>
      <c r="K201">
        <v>0.36359999999999998</v>
      </c>
      <c r="L201">
        <v>0.46</v>
      </c>
      <c r="M201">
        <v>0</v>
      </c>
      <c r="N201">
        <v>47</v>
      </c>
      <c r="O201">
        <v>135</v>
      </c>
      <c r="P201">
        <v>182</v>
      </c>
    </row>
    <row r="202" spans="1:16" x14ac:dyDescent="0.3">
      <c r="A202">
        <v>820</v>
      </c>
      <c r="B202" s="1">
        <v>40580</v>
      </c>
      <c r="C202">
        <v>1</v>
      </c>
      <c r="D202">
        <v>0</v>
      </c>
      <c r="E202">
        <v>2</v>
      </c>
      <c r="F202">
        <v>14</v>
      </c>
      <c r="G202" t="b">
        <v>0</v>
      </c>
      <c r="H202">
        <v>0</v>
      </c>
      <c r="I202">
        <v>1</v>
      </c>
      <c r="J202">
        <v>0.34</v>
      </c>
      <c r="K202">
        <v>0.34849999999999998</v>
      </c>
      <c r="L202">
        <v>0.46</v>
      </c>
      <c r="M202">
        <v>8.9599999999999999E-2</v>
      </c>
      <c r="N202">
        <v>47</v>
      </c>
      <c r="O202">
        <v>114</v>
      </c>
      <c r="P202">
        <v>161</v>
      </c>
    </row>
    <row r="203" spans="1:16" x14ac:dyDescent="0.3">
      <c r="A203">
        <v>821</v>
      </c>
      <c r="B203" s="1">
        <v>40580</v>
      </c>
      <c r="C203">
        <v>1</v>
      </c>
      <c r="D203">
        <v>0</v>
      </c>
      <c r="E203">
        <v>2</v>
      </c>
      <c r="F203">
        <v>15</v>
      </c>
      <c r="G203" t="b">
        <v>0</v>
      </c>
      <c r="H203">
        <v>0</v>
      </c>
      <c r="I203">
        <v>1</v>
      </c>
      <c r="J203">
        <v>0.34</v>
      </c>
      <c r="K203">
        <v>0.34849999999999998</v>
      </c>
      <c r="L203">
        <v>0.46</v>
      </c>
      <c r="M203">
        <v>8.9599999999999999E-2</v>
      </c>
      <c r="N203">
        <v>52</v>
      </c>
      <c r="O203">
        <v>130</v>
      </c>
      <c r="P203">
        <v>182</v>
      </c>
    </row>
    <row r="204" spans="1:16" x14ac:dyDescent="0.3">
      <c r="A204">
        <v>822</v>
      </c>
      <c r="B204" s="1">
        <v>40580</v>
      </c>
      <c r="C204">
        <v>1</v>
      </c>
      <c r="D204">
        <v>0</v>
      </c>
      <c r="E204">
        <v>2</v>
      </c>
      <c r="F204">
        <v>16</v>
      </c>
      <c r="G204" t="b">
        <v>0</v>
      </c>
      <c r="H204">
        <v>0</v>
      </c>
      <c r="I204">
        <v>1</v>
      </c>
      <c r="J204">
        <v>0.34</v>
      </c>
      <c r="K204">
        <v>0.34849999999999998</v>
      </c>
      <c r="L204">
        <v>0.49</v>
      </c>
      <c r="M204">
        <v>0.1045</v>
      </c>
      <c r="N204">
        <v>42</v>
      </c>
      <c r="O204">
        <v>115</v>
      </c>
      <c r="P204">
        <v>157</v>
      </c>
    </row>
    <row r="205" spans="1:16" x14ac:dyDescent="0.3">
      <c r="A205">
        <v>823</v>
      </c>
      <c r="B205" s="1">
        <v>40580</v>
      </c>
      <c r="C205">
        <v>1</v>
      </c>
      <c r="D205">
        <v>0</v>
      </c>
      <c r="E205">
        <v>2</v>
      </c>
      <c r="F205">
        <v>17</v>
      </c>
      <c r="G205" t="b">
        <v>0</v>
      </c>
      <c r="H205">
        <v>0</v>
      </c>
      <c r="I205">
        <v>1</v>
      </c>
      <c r="J205">
        <v>0.34</v>
      </c>
      <c r="K205">
        <v>0.36359999999999998</v>
      </c>
      <c r="L205">
        <v>0.46</v>
      </c>
      <c r="M205">
        <v>0</v>
      </c>
      <c r="N205">
        <v>24</v>
      </c>
      <c r="O205">
        <v>97</v>
      </c>
      <c r="P205">
        <v>121</v>
      </c>
    </row>
    <row r="206" spans="1:16" x14ac:dyDescent="0.3">
      <c r="A206">
        <v>824</v>
      </c>
      <c r="B206" s="1">
        <v>40580</v>
      </c>
      <c r="C206">
        <v>1</v>
      </c>
      <c r="D206">
        <v>0</v>
      </c>
      <c r="E206">
        <v>2</v>
      </c>
      <c r="F206">
        <v>18</v>
      </c>
      <c r="G206" t="b">
        <v>0</v>
      </c>
      <c r="H206">
        <v>0</v>
      </c>
      <c r="I206">
        <v>1</v>
      </c>
      <c r="J206">
        <v>0.3</v>
      </c>
      <c r="K206">
        <v>0.30299999999999999</v>
      </c>
      <c r="L206">
        <v>0.56000000000000005</v>
      </c>
      <c r="M206">
        <v>0.16420000000000001</v>
      </c>
      <c r="N206">
        <v>13</v>
      </c>
      <c r="O206">
        <v>65</v>
      </c>
      <c r="P206">
        <v>78</v>
      </c>
    </row>
    <row r="207" spans="1:16" x14ac:dyDescent="0.3">
      <c r="A207">
        <v>825</v>
      </c>
      <c r="B207" s="1">
        <v>40580</v>
      </c>
      <c r="C207">
        <v>1</v>
      </c>
      <c r="D207">
        <v>0</v>
      </c>
      <c r="E207">
        <v>2</v>
      </c>
      <c r="F207">
        <v>19</v>
      </c>
      <c r="G207" t="b">
        <v>0</v>
      </c>
      <c r="H207">
        <v>0</v>
      </c>
      <c r="I207">
        <v>1</v>
      </c>
      <c r="J207">
        <v>0.28000000000000003</v>
      </c>
      <c r="K207">
        <v>0.28789999999999999</v>
      </c>
      <c r="L207">
        <v>0.61</v>
      </c>
      <c r="M207">
        <v>0.1343</v>
      </c>
      <c r="N207">
        <v>1</v>
      </c>
      <c r="O207">
        <v>20</v>
      </c>
      <c r="P207">
        <v>21</v>
      </c>
    </row>
    <row r="208" spans="1:16" x14ac:dyDescent="0.3">
      <c r="A208">
        <v>826</v>
      </c>
      <c r="B208" s="1">
        <v>40580</v>
      </c>
      <c r="C208">
        <v>1</v>
      </c>
      <c r="D208">
        <v>0</v>
      </c>
      <c r="E208">
        <v>2</v>
      </c>
      <c r="F208">
        <v>20</v>
      </c>
      <c r="G208" t="b">
        <v>0</v>
      </c>
      <c r="H208">
        <v>0</v>
      </c>
      <c r="I208">
        <v>1</v>
      </c>
      <c r="J208">
        <v>0.28000000000000003</v>
      </c>
      <c r="K208">
        <v>0.28789999999999999</v>
      </c>
      <c r="L208">
        <v>0.61</v>
      </c>
      <c r="M208">
        <v>0.1045</v>
      </c>
      <c r="N208">
        <v>5</v>
      </c>
      <c r="O208">
        <v>21</v>
      </c>
      <c r="P208">
        <v>26</v>
      </c>
    </row>
    <row r="209" spans="1:16" x14ac:dyDescent="0.3">
      <c r="A209">
        <v>827</v>
      </c>
      <c r="B209" s="1">
        <v>40580</v>
      </c>
      <c r="C209">
        <v>1</v>
      </c>
      <c r="D209">
        <v>0</v>
      </c>
      <c r="E209">
        <v>2</v>
      </c>
      <c r="F209">
        <v>21</v>
      </c>
      <c r="G209" t="b">
        <v>0</v>
      </c>
      <c r="H209">
        <v>0</v>
      </c>
      <c r="I209">
        <v>1</v>
      </c>
      <c r="J209">
        <v>0.26</v>
      </c>
      <c r="K209">
        <v>0.30299999999999999</v>
      </c>
      <c r="L209">
        <v>0.6</v>
      </c>
      <c r="M209">
        <v>0</v>
      </c>
      <c r="N209">
        <v>5</v>
      </c>
      <c r="O209">
        <v>22</v>
      </c>
      <c r="P209">
        <v>27</v>
      </c>
    </row>
    <row r="210" spans="1:16" x14ac:dyDescent="0.3">
      <c r="A210">
        <v>828</v>
      </c>
      <c r="B210" s="1">
        <v>40580</v>
      </c>
      <c r="C210">
        <v>1</v>
      </c>
      <c r="D210">
        <v>0</v>
      </c>
      <c r="E210">
        <v>2</v>
      </c>
      <c r="F210">
        <v>22</v>
      </c>
      <c r="G210" t="b">
        <v>0</v>
      </c>
      <c r="H210">
        <v>0</v>
      </c>
      <c r="I210">
        <v>1</v>
      </c>
      <c r="J210">
        <v>0.26</v>
      </c>
      <c r="K210">
        <v>0.30299999999999999</v>
      </c>
      <c r="L210">
        <v>0.6</v>
      </c>
      <c r="M210">
        <v>0</v>
      </c>
      <c r="N210">
        <v>5</v>
      </c>
      <c r="O210">
        <v>57</v>
      </c>
      <c r="P210">
        <v>62</v>
      </c>
    </row>
    <row r="211" spans="1:16" x14ac:dyDescent="0.3">
      <c r="A211">
        <v>829</v>
      </c>
      <c r="B211" s="1">
        <v>40580</v>
      </c>
      <c r="C211">
        <v>1</v>
      </c>
      <c r="D211">
        <v>0</v>
      </c>
      <c r="E211">
        <v>2</v>
      </c>
      <c r="F211">
        <v>23</v>
      </c>
      <c r="G211" t="b">
        <v>0</v>
      </c>
      <c r="H211">
        <v>0</v>
      </c>
      <c r="I211">
        <v>1</v>
      </c>
      <c r="J211">
        <v>0.24</v>
      </c>
      <c r="K211">
        <v>0.28789999999999999</v>
      </c>
      <c r="L211">
        <v>0.65</v>
      </c>
      <c r="M211">
        <v>0</v>
      </c>
      <c r="N211">
        <v>4</v>
      </c>
      <c r="O211">
        <v>26</v>
      </c>
      <c r="P211">
        <v>30</v>
      </c>
    </row>
    <row r="212" spans="1:16" x14ac:dyDescent="0.3">
      <c r="A212">
        <v>830</v>
      </c>
      <c r="B212" s="1">
        <v>40581</v>
      </c>
      <c r="C212">
        <v>1</v>
      </c>
      <c r="D212">
        <v>0</v>
      </c>
      <c r="E212">
        <v>2</v>
      </c>
      <c r="F212">
        <v>0</v>
      </c>
      <c r="G212" t="b">
        <v>0</v>
      </c>
      <c r="H212">
        <v>1</v>
      </c>
      <c r="I212">
        <v>1</v>
      </c>
      <c r="J212">
        <v>0.24</v>
      </c>
      <c r="K212">
        <v>0.28789999999999999</v>
      </c>
      <c r="L212">
        <v>0.65</v>
      </c>
      <c r="M212">
        <v>0</v>
      </c>
      <c r="N212">
        <v>1</v>
      </c>
      <c r="O212">
        <v>14</v>
      </c>
      <c r="P212">
        <v>15</v>
      </c>
    </row>
    <row r="213" spans="1:16" x14ac:dyDescent="0.3">
      <c r="A213">
        <v>831</v>
      </c>
      <c r="B213" s="1">
        <v>40581</v>
      </c>
      <c r="C213">
        <v>1</v>
      </c>
      <c r="D213">
        <v>0</v>
      </c>
      <c r="E213">
        <v>2</v>
      </c>
      <c r="F213">
        <v>1</v>
      </c>
      <c r="G213" t="b">
        <v>0</v>
      </c>
      <c r="H213">
        <v>1</v>
      </c>
      <c r="I213">
        <v>1</v>
      </c>
      <c r="J213">
        <v>0.22</v>
      </c>
      <c r="K213">
        <v>0.2727</v>
      </c>
      <c r="L213">
        <v>0.75</v>
      </c>
      <c r="M213">
        <v>0</v>
      </c>
      <c r="N213">
        <v>1</v>
      </c>
      <c r="O213">
        <v>4</v>
      </c>
      <c r="P213">
        <v>5</v>
      </c>
    </row>
    <row r="214" spans="1:16" x14ac:dyDescent="0.3">
      <c r="A214">
        <v>832</v>
      </c>
      <c r="B214" s="1">
        <v>40581</v>
      </c>
      <c r="C214">
        <v>1</v>
      </c>
      <c r="D214">
        <v>0</v>
      </c>
      <c r="E214">
        <v>2</v>
      </c>
      <c r="F214">
        <v>2</v>
      </c>
      <c r="G214" t="b">
        <v>0</v>
      </c>
      <c r="H214">
        <v>1</v>
      </c>
      <c r="I214">
        <v>1</v>
      </c>
      <c r="J214">
        <v>0.2</v>
      </c>
      <c r="K214">
        <v>0.2576</v>
      </c>
      <c r="L214">
        <v>0.8</v>
      </c>
      <c r="M214">
        <v>0</v>
      </c>
      <c r="N214">
        <v>0</v>
      </c>
      <c r="O214">
        <v>3</v>
      </c>
      <c r="P214">
        <v>3</v>
      </c>
    </row>
    <row r="215" spans="1:16" x14ac:dyDescent="0.3">
      <c r="A215">
        <v>833</v>
      </c>
      <c r="B215" s="1">
        <v>40581</v>
      </c>
      <c r="C215">
        <v>1</v>
      </c>
      <c r="D215">
        <v>0</v>
      </c>
      <c r="E215">
        <v>2</v>
      </c>
      <c r="F215">
        <v>3</v>
      </c>
      <c r="G215" t="b">
        <v>0</v>
      </c>
      <c r="H215">
        <v>1</v>
      </c>
      <c r="I215">
        <v>1</v>
      </c>
      <c r="J215">
        <v>0.2</v>
      </c>
      <c r="K215">
        <v>0.2576</v>
      </c>
      <c r="L215">
        <v>0.86</v>
      </c>
      <c r="M215">
        <v>0</v>
      </c>
      <c r="N215">
        <v>0</v>
      </c>
      <c r="O215">
        <v>1</v>
      </c>
      <c r="P215">
        <v>1</v>
      </c>
    </row>
    <row r="216" spans="1:16" x14ac:dyDescent="0.3">
      <c r="A216">
        <v>834</v>
      </c>
      <c r="B216" s="1">
        <v>40581</v>
      </c>
      <c r="C216">
        <v>1</v>
      </c>
      <c r="D216">
        <v>0</v>
      </c>
      <c r="E216">
        <v>2</v>
      </c>
      <c r="F216">
        <v>4</v>
      </c>
      <c r="G216" t="b">
        <v>0</v>
      </c>
      <c r="H216">
        <v>1</v>
      </c>
      <c r="I216">
        <v>1</v>
      </c>
      <c r="J216">
        <v>0.2</v>
      </c>
      <c r="K216">
        <v>0.2576</v>
      </c>
      <c r="L216">
        <v>0.86</v>
      </c>
      <c r="M216">
        <v>0</v>
      </c>
      <c r="N216">
        <v>1</v>
      </c>
      <c r="O216">
        <v>1</v>
      </c>
      <c r="P216">
        <v>2</v>
      </c>
    </row>
    <row r="217" spans="1:16" x14ac:dyDescent="0.3">
      <c r="A217">
        <v>835</v>
      </c>
      <c r="B217" s="1">
        <v>40581</v>
      </c>
      <c r="C217">
        <v>1</v>
      </c>
      <c r="D217">
        <v>0</v>
      </c>
      <c r="E217">
        <v>2</v>
      </c>
      <c r="F217">
        <v>5</v>
      </c>
      <c r="G217" t="b">
        <v>0</v>
      </c>
      <c r="H217">
        <v>1</v>
      </c>
      <c r="I217">
        <v>1</v>
      </c>
      <c r="J217">
        <v>0.2</v>
      </c>
      <c r="K217">
        <v>0.2576</v>
      </c>
      <c r="L217">
        <v>0.86</v>
      </c>
      <c r="M217">
        <v>0</v>
      </c>
      <c r="N217">
        <v>1</v>
      </c>
      <c r="O217">
        <v>9</v>
      </c>
      <c r="P217">
        <v>10</v>
      </c>
    </row>
    <row r="218" spans="1:16" x14ac:dyDescent="0.3">
      <c r="A218">
        <v>836</v>
      </c>
      <c r="B218" s="1">
        <v>40581</v>
      </c>
      <c r="C218">
        <v>1</v>
      </c>
      <c r="D218">
        <v>0</v>
      </c>
      <c r="E218">
        <v>2</v>
      </c>
      <c r="F218">
        <v>6</v>
      </c>
      <c r="G218" t="b">
        <v>0</v>
      </c>
      <c r="H218">
        <v>1</v>
      </c>
      <c r="I218">
        <v>1</v>
      </c>
      <c r="J218">
        <v>0.18</v>
      </c>
      <c r="K218">
        <v>0.2424</v>
      </c>
      <c r="L218">
        <v>0.93</v>
      </c>
      <c r="M218">
        <v>0</v>
      </c>
      <c r="N218">
        <v>1</v>
      </c>
      <c r="O218">
        <v>29</v>
      </c>
      <c r="P218">
        <v>30</v>
      </c>
    </row>
    <row r="219" spans="1:16" x14ac:dyDescent="0.3">
      <c r="A219">
        <v>837</v>
      </c>
      <c r="B219" s="1">
        <v>40581</v>
      </c>
      <c r="C219">
        <v>1</v>
      </c>
      <c r="D219">
        <v>0</v>
      </c>
      <c r="E219">
        <v>2</v>
      </c>
      <c r="F219">
        <v>7</v>
      </c>
      <c r="G219" t="b">
        <v>0</v>
      </c>
      <c r="H219">
        <v>1</v>
      </c>
      <c r="I219">
        <v>1</v>
      </c>
      <c r="J219">
        <v>0.18</v>
      </c>
      <c r="K219">
        <v>0.2424</v>
      </c>
      <c r="L219">
        <v>0.86</v>
      </c>
      <c r="M219">
        <v>0</v>
      </c>
      <c r="N219">
        <v>6</v>
      </c>
      <c r="O219">
        <v>89</v>
      </c>
      <c r="P219">
        <v>95</v>
      </c>
    </row>
    <row r="220" spans="1:16" x14ac:dyDescent="0.3">
      <c r="A220">
        <v>838</v>
      </c>
      <c r="B220" s="1">
        <v>40581</v>
      </c>
      <c r="C220">
        <v>1</v>
      </c>
      <c r="D220">
        <v>0</v>
      </c>
      <c r="E220">
        <v>2</v>
      </c>
      <c r="F220">
        <v>8</v>
      </c>
      <c r="G220" t="b">
        <v>0</v>
      </c>
      <c r="H220">
        <v>1</v>
      </c>
      <c r="I220">
        <v>2</v>
      </c>
      <c r="J220">
        <v>0.16</v>
      </c>
      <c r="K220">
        <v>0.2273</v>
      </c>
      <c r="L220">
        <v>1</v>
      </c>
      <c r="M220">
        <v>0</v>
      </c>
      <c r="N220">
        <v>7</v>
      </c>
      <c r="O220">
        <v>223</v>
      </c>
      <c r="P220">
        <v>230</v>
      </c>
    </row>
    <row r="221" spans="1:16" x14ac:dyDescent="0.3">
      <c r="A221">
        <v>839</v>
      </c>
      <c r="B221" s="1">
        <v>40581</v>
      </c>
      <c r="C221">
        <v>1</v>
      </c>
      <c r="D221">
        <v>0</v>
      </c>
      <c r="E221">
        <v>2</v>
      </c>
      <c r="F221">
        <v>9</v>
      </c>
      <c r="G221" t="b">
        <v>0</v>
      </c>
      <c r="H221">
        <v>1</v>
      </c>
      <c r="I221">
        <v>1</v>
      </c>
      <c r="J221">
        <v>0.22</v>
      </c>
      <c r="K221">
        <v>0.2727</v>
      </c>
      <c r="L221">
        <v>0.8</v>
      </c>
      <c r="M221">
        <v>0</v>
      </c>
      <c r="N221">
        <v>3</v>
      </c>
      <c r="O221">
        <v>115</v>
      </c>
      <c r="P221">
        <v>118</v>
      </c>
    </row>
    <row r="222" spans="1:16" x14ac:dyDescent="0.3">
      <c r="A222">
        <v>840</v>
      </c>
      <c r="B222" s="1">
        <v>40581</v>
      </c>
      <c r="C222">
        <v>1</v>
      </c>
      <c r="D222">
        <v>0</v>
      </c>
      <c r="E222">
        <v>2</v>
      </c>
      <c r="F222">
        <v>10</v>
      </c>
      <c r="G222" t="b">
        <v>0</v>
      </c>
      <c r="H222">
        <v>1</v>
      </c>
      <c r="I222">
        <v>1</v>
      </c>
      <c r="J222">
        <v>0.24</v>
      </c>
      <c r="K222">
        <v>0.2576</v>
      </c>
      <c r="L222">
        <v>0.75</v>
      </c>
      <c r="M222">
        <v>0.1045</v>
      </c>
      <c r="N222">
        <v>6</v>
      </c>
      <c r="O222">
        <v>49</v>
      </c>
      <c r="P222">
        <v>55</v>
      </c>
    </row>
    <row r="223" spans="1:16" x14ac:dyDescent="0.3">
      <c r="A223">
        <v>841</v>
      </c>
      <c r="B223" s="1">
        <v>40581</v>
      </c>
      <c r="C223">
        <v>1</v>
      </c>
      <c r="D223">
        <v>0</v>
      </c>
      <c r="E223">
        <v>2</v>
      </c>
      <c r="F223">
        <v>11</v>
      </c>
      <c r="G223" t="b">
        <v>0</v>
      </c>
      <c r="H223">
        <v>1</v>
      </c>
      <c r="I223">
        <v>1</v>
      </c>
      <c r="J223">
        <v>0.3</v>
      </c>
      <c r="K223">
        <v>0.31819999999999998</v>
      </c>
      <c r="L223">
        <v>0.65</v>
      </c>
      <c r="M223">
        <v>8.9599999999999999E-2</v>
      </c>
      <c r="N223">
        <v>11</v>
      </c>
      <c r="O223">
        <v>36</v>
      </c>
      <c r="P223">
        <v>47</v>
      </c>
    </row>
    <row r="224" spans="1:16" x14ac:dyDescent="0.3">
      <c r="A224">
        <v>842</v>
      </c>
      <c r="B224" s="1">
        <v>40581</v>
      </c>
      <c r="C224">
        <v>1</v>
      </c>
      <c r="D224">
        <v>0</v>
      </c>
      <c r="E224">
        <v>2</v>
      </c>
      <c r="F224">
        <v>12</v>
      </c>
      <c r="G224" t="b">
        <v>0</v>
      </c>
      <c r="H224">
        <v>1</v>
      </c>
      <c r="I224">
        <v>2</v>
      </c>
      <c r="J224">
        <v>0.32</v>
      </c>
      <c r="K224">
        <v>0.34849999999999998</v>
      </c>
      <c r="L224">
        <v>0.62</v>
      </c>
      <c r="M224">
        <v>0</v>
      </c>
      <c r="N224">
        <v>7</v>
      </c>
      <c r="O224">
        <v>59</v>
      </c>
      <c r="P224">
        <v>66</v>
      </c>
    </row>
    <row r="225" spans="1:16" x14ac:dyDescent="0.3">
      <c r="A225">
        <v>843</v>
      </c>
      <c r="B225" s="1">
        <v>40581</v>
      </c>
      <c r="C225">
        <v>1</v>
      </c>
      <c r="D225">
        <v>0</v>
      </c>
      <c r="E225">
        <v>2</v>
      </c>
      <c r="F225">
        <v>13</v>
      </c>
      <c r="G225" t="b">
        <v>0</v>
      </c>
      <c r="H225">
        <v>1</v>
      </c>
      <c r="I225">
        <v>2</v>
      </c>
      <c r="J225">
        <v>0.36</v>
      </c>
      <c r="K225">
        <v>0.36359999999999998</v>
      </c>
      <c r="L225">
        <v>0.56999999999999995</v>
      </c>
      <c r="M225">
        <v>8.9599999999999999E-2</v>
      </c>
      <c r="N225">
        <v>10</v>
      </c>
      <c r="O225">
        <v>54</v>
      </c>
      <c r="P225">
        <v>64</v>
      </c>
    </row>
    <row r="226" spans="1:16" x14ac:dyDescent="0.3">
      <c r="A226">
        <v>844</v>
      </c>
      <c r="B226" s="1">
        <v>40581</v>
      </c>
      <c r="C226">
        <v>1</v>
      </c>
      <c r="D226">
        <v>0</v>
      </c>
      <c r="E226">
        <v>2</v>
      </c>
      <c r="F226">
        <v>14</v>
      </c>
      <c r="G226" t="b">
        <v>0</v>
      </c>
      <c r="H226">
        <v>1</v>
      </c>
      <c r="I226">
        <v>2</v>
      </c>
      <c r="J226">
        <v>0.36</v>
      </c>
      <c r="K226">
        <v>0.36359999999999998</v>
      </c>
      <c r="L226">
        <v>0.56999999999999995</v>
      </c>
      <c r="M226">
        <v>8.9599999999999999E-2</v>
      </c>
      <c r="N226">
        <v>8</v>
      </c>
      <c r="O226">
        <v>52</v>
      </c>
      <c r="P226">
        <v>60</v>
      </c>
    </row>
    <row r="227" spans="1:16" x14ac:dyDescent="0.3">
      <c r="A227">
        <v>845</v>
      </c>
      <c r="B227" s="1">
        <v>40581</v>
      </c>
      <c r="C227">
        <v>1</v>
      </c>
      <c r="D227">
        <v>0</v>
      </c>
      <c r="E227">
        <v>2</v>
      </c>
      <c r="F227">
        <v>15</v>
      </c>
      <c r="G227" t="b">
        <v>0</v>
      </c>
      <c r="H227">
        <v>1</v>
      </c>
      <c r="I227">
        <v>2</v>
      </c>
      <c r="J227">
        <v>0.38</v>
      </c>
      <c r="K227">
        <v>0.39389999999999997</v>
      </c>
      <c r="L227">
        <v>0.54</v>
      </c>
      <c r="M227">
        <v>8.9599999999999999E-2</v>
      </c>
      <c r="N227">
        <v>4</v>
      </c>
      <c r="O227">
        <v>46</v>
      </c>
      <c r="P227">
        <v>50</v>
      </c>
    </row>
    <row r="228" spans="1:16" x14ac:dyDescent="0.3">
      <c r="A228">
        <v>846</v>
      </c>
      <c r="B228" s="1">
        <v>40581</v>
      </c>
      <c r="C228">
        <v>1</v>
      </c>
      <c r="D228">
        <v>0</v>
      </c>
      <c r="E228">
        <v>2</v>
      </c>
      <c r="F228">
        <v>16</v>
      </c>
      <c r="G228" t="b">
        <v>0</v>
      </c>
      <c r="H228">
        <v>1</v>
      </c>
      <c r="I228">
        <v>2</v>
      </c>
      <c r="J228">
        <v>0.36</v>
      </c>
      <c r="K228">
        <v>0.34849999999999998</v>
      </c>
      <c r="L228">
        <v>0.56999999999999995</v>
      </c>
      <c r="M228">
        <v>0.1343</v>
      </c>
      <c r="N228">
        <v>16</v>
      </c>
      <c r="O228">
        <v>98</v>
      </c>
      <c r="P228">
        <v>114</v>
      </c>
    </row>
    <row r="229" spans="1:16" x14ac:dyDescent="0.3">
      <c r="A229">
        <v>847</v>
      </c>
      <c r="B229" s="1">
        <v>40581</v>
      </c>
      <c r="C229">
        <v>1</v>
      </c>
      <c r="D229">
        <v>0</v>
      </c>
      <c r="E229">
        <v>2</v>
      </c>
      <c r="F229">
        <v>17</v>
      </c>
      <c r="G229" t="b">
        <v>0</v>
      </c>
      <c r="H229">
        <v>1</v>
      </c>
      <c r="I229">
        <v>2</v>
      </c>
      <c r="J229">
        <v>0.32</v>
      </c>
      <c r="K229">
        <v>0.31819999999999998</v>
      </c>
      <c r="L229">
        <v>0.7</v>
      </c>
      <c r="M229">
        <v>0.16420000000000001</v>
      </c>
      <c r="N229">
        <v>9</v>
      </c>
      <c r="O229">
        <v>207</v>
      </c>
      <c r="P229">
        <v>216</v>
      </c>
    </row>
    <row r="230" spans="1:16" x14ac:dyDescent="0.3">
      <c r="A230">
        <v>848</v>
      </c>
      <c r="B230" s="1">
        <v>40581</v>
      </c>
      <c r="C230">
        <v>1</v>
      </c>
      <c r="D230">
        <v>0</v>
      </c>
      <c r="E230">
        <v>2</v>
      </c>
      <c r="F230">
        <v>18</v>
      </c>
      <c r="G230" t="b">
        <v>0</v>
      </c>
      <c r="H230">
        <v>1</v>
      </c>
      <c r="I230">
        <v>2</v>
      </c>
      <c r="J230">
        <v>0.34</v>
      </c>
      <c r="K230">
        <v>0.33329999999999999</v>
      </c>
      <c r="L230">
        <v>0.66</v>
      </c>
      <c r="M230">
        <v>0.1343</v>
      </c>
      <c r="N230">
        <v>5</v>
      </c>
      <c r="O230">
        <v>170</v>
      </c>
      <c r="P230">
        <v>175</v>
      </c>
    </row>
    <row r="231" spans="1:16" x14ac:dyDescent="0.3">
      <c r="A231">
        <v>849</v>
      </c>
      <c r="B231" s="1">
        <v>40581</v>
      </c>
      <c r="C231">
        <v>1</v>
      </c>
      <c r="D231">
        <v>0</v>
      </c>
      <c r="E231">
        <v>2</v>
      </c>
      <c r="F231">
        <v>19</v>
      </c>
      <c r="G231" t="b">
        <v>0</v>
      </c>
      <c r="H231">
        <v>1</v>
      </c>
      <c r="I231">
        <v>2</v>
      </c>
      <c r="J231">
        <v>0.32</v>
      </c>
      <c r="K231">
        <v>0.34849999999999998</v>
      </c>
      <c r="L231">
        <v>0.7</v>
      </c>
      <c r="M231">
        <v>0</v>
      </c>
      <c r="N231">
        <v>5</v>
      </c>
      <c r="O231">
        <v>123</v>
      </c>
      <c r="P231">
        <v>128</v>
      </c>
    </row>
    <row r="232" spans="1:16" x14ac:dyDescent="0.3">
      <c r="A232">
        <v>850</v>
      </c>
      <c r="B232" s="1">
        <v>40581</v>
      </c>
      <c r="C232">
        <v>1</v>
      </c>
      <c r="D232">
        <v>0</v>
      </c>
      <c r="E232">
        <v>2</v>
      </c>
      <c r="F232">
        <v>20</v>
      </c>
      <c r="G232" t="b">
        <v>0</v>
      </c>
      <c r="H232">
        <v>1</v>
      </c>
      <c r="I232">
        <v>2</v>
      </c>
      <c r="J232">
        <v>0.32</v>
      </c>
      <c r="K232">
        <v>0.33329999999999999</v>
      </c>
      <c r="L232">
        <v>0.7</v>
      </c>
      <c r="M232">
        <v>0.1045</v>
      </c>
      <c r="N232">
        <v>6</v>
      </c>
      <c r="O232">
        <v>82</v>
      </c>
      <c r="P232">
        <v>88</v>
      </c>
    </row>
    <row r="233" spans="1:16" x14ac:dyDescent="0.3">
      <c r="A233">
        <v>851</v>
      </c>
      <c r="B233" s="1">
        <v>40581</v>
      </c>
      <c r="C233">
        <v>1</v>
      </c>
      <c r="D233">
        <v>0</v>
      </c>
      <c r="E233">
        <v>2</v>
      </c>
      <c r="F233">
        <v>21</v>
      </c>
      <c r="G233" t="b">
        <v>0</v>
      </c>
      <c r="H233">
        <v>1</v>
      </c>
      <c r="I233">
        <v>1</v>
      </c>
      <c r="J233">
        <v>0.32</v>
      </c>
      <c r="K233">
        <v>0.34849999999999998</v>
      </c>
      <c r="L233">
        <v>0.7</v>
      </c>
      <c r="M233">
        <v>0</v>
      </c>
      <c r="N233">
        <v>3</v>
      </c>
      <c r="O233">
        <v>75</v>
      </c>
      <c r="P233">
        <v>78</v>
      </c>
    </row>
    <row r="234" spans="1:16" x14ac:dyDescent="0.3">
      <c r="A234">
        <v>852</v>
      </c>
      <c r="B234" s="1">
        <v>40581</v>
      </c>
      <c r="C234">
        <v>1</v>
      </c>
      <c r="D234">
        <v>0</v>
      </c>
      <c r="E234">
        <v>2</v>
      </c>
      <c r="F234">
        <v>22</v>
      </c>
      <c r="G234" t="b">
        <v>0</v>
      </c>
      <c r="H234">
        <v>1</v>
      </c>
      <c r="I234">
        <v>1</v>
      </c>
      <c r="J234">
        <v>0.28000000000000003</v>
      </c>
      <c r="K234">
        <v>0.30299999999999999</v>
      </c>
      <c r="L234">
        <v>0.81</v>
      </c>
      <c r="M234">
        <v>8.9599999999999999E-2</v>
      </c>
      <c r="N234">
        <v>3</v>
      </c>
      <c r="O234">
        <v>34</v>
      </c>
      <c r="P234">
        <v>37</v>
      </c>
    </row>
    <row r="235" spans="1:16" x14ac:dyDescent="0.3">
      <c r="A235">
        <v>853</v>
      </c>
      <c r="B235" s="1">
        <v>40581</v>
      </c>
      <c r="C235">
        <v>1</v>
      </c>
      <c r="D235">
        <v>0</v>
      </c>
      <c r="E235">
        <v>2</v>
      </c>
      <c r="F235">
        <v>23</v>
      </c>
      <c r="G235" t="b">
        <v>0</v>
      </c>
      <c r="H235">
        <v>1</v>
      </c>
      <c r="I235">
        <v>2</v>
      </c>
      <c r="J235">
        <v>0.3</v>
      </c>
      <c r="K235">
        <v>0.33329999999999999</v>
      </c>
      <c r="L235">
        <v>0.81</v>
      </c>
      <c r="M235">
        <v>0</v>
      </c>
      <c r="N235">
        <v>6</v>
      </c>
      <c r="O235">
        <v>19</v>
      </c>
      <c r="P235">
        <v>25</v>
      </c>
    </row>
    <row r="236" spans="1:16" x14ac:dyDescent="0.3">
      <c r="A236">
        <v>854</v>
      </c>
      <c r="B236" s="1">
        <v>40582</v>
      </c>
      <c r="C236">
        <v>1</v>
      </c>
      <c r="D236">
        <v>0</v>
      </c>
      <c r="E236">
        <v>2</v>
      </c>
      <c r="F236">
        <v>0</v>
      </c>
      <c r="G236" t="b">
        <v>0</v>
      </c>
      <c r="H236">
        <v>2</v>
      </c>
      <c r="I236">
        <v>2</v>
      </c>
      <c r="J236">
        <v>0.28000000000000003</v>
      </c>
      <c r="K236">
        <v>0.31819999999999998</v>
      </c>
      <c r="L236">
        <v>0.87</v>
      </c>
      <c r="M236">
        <v>0</v>
      </c>
      <c r="N236">
        <v>4</v>
      </c>
      <c r="O236">
        <v>6</v>
      </c>
      <c r="P236">
        <v>10</v>
      </c>
    </row>
    <row r="237" spans="1:16" x14ac:dyDescent="0.3">
      <c r="A237">
        <v>855</v>
      </c>
      <c r="B237" s="1">
        <v>40582</v>
      </c>
      <c r="C237">
        <v>1</v>
      </c>
      <c r="D237">
        <v>0</v>
      </c>
      <c r="E237">
        <v>2</v>
      </c>
      <c r="F237">
        <v>1</v>
      </c>
      <c r="G237" t="b">
        <v>0</v>
      </c>
      <c r="H237">
        <v>2</v>
      </c>
      <c r="I237">
        <v>2</v>
      </c>
      <c r="J237">
        <v>0.28000000000000003</v>
      </c>
      <c r="K237">
        <v>0.31819999999999998</v>
      </c>
      <c r="L237">
        <v>0.87</v>
      </c>
      <c r="M237">
        <v>0</v>
      </c>
      <c r="N237">
        <v>0</v>
      </c>
      <c r="O237">
        <v>4</v>
      </c>
      <c r="P237">
        <v>4</v>
      </c>
    </row>
    <row r="238" spans="1:16" x14ac:dyDescent="0.3">
      <c r="A238">
        <v>856</v>
      </c>
      <c r="B238" s="1">
        <v>40582</v>
      </c>
      <c r="C238">
        <v>1</v>
      </c>
      <c r="D238">
        <v>0</v>
      </c>
      <c r="E238">
        <v>2</v>
      </c>
      <c r="F238">
        <v>2</v>
      </c>
      <c r="G238" t="b">
        <v>0</v>
      </c>
      <c r="H238">
        <v>2</v>
      </c>
      <c r="I238">
        <v>2</v>
      </c>
      <c r="J238">
        <v>0.26</v>
      </c>
      <c r="K238">
        <v>0.2727</v>
      </c>
      <c r="L238">
        <v>0.93</v>
      </c>
      <c r="M238">
        <v>0.1045</v>
      </c>
      <c r="N238">
        <v>1</v>
      </c>
      <c r="O238">
        <v>1</v>
      </c>
      <c r="P238">
        <v>2</v>
      </c>
    </row>
    <row r="239" spans="1:16" x14ac:dyDescent="0.3">
      <c r="A239">
        <v>857</v>
      </c>
      <c r="B239" s="1">
        <v>40582</v>
      </c>
      <c r="C239">
        <v>1</v>
      </c>
      <c r="D239">
        <v>0</v>
      </c>
      <c r="E239">
        <v>2</v>
      </c>
      <c r="F239">
        <v>3</v>
      </c>
      <c r="G239" t="b">
        <v>0</v>
      </c>
      <c r="H239">
        <v>2</v>
      </c>
      <c r="I239">
        <v>3</v>
      </c>
      <c r="J239">
        <v>0.28000000000000003</v>
      </c>
      <c r="K239">
        <v>0.2727</v>
      </c>
      <c r="L239">
        <v>0.93</v>
      </c>
      <c r="M239">
        <v>0.16420000000000001</v>
      </c>
      <c r="N239">
        <v>0</v>
      </c>
      <c r="O239">
        <v>1</v>
      </c>
      <c r="P239">
        <v>1</v>
      </c>
    </row>
    <row r="240" spans="1:16" x14ac:dyDescent="0.3">
      <c r="A240">
        <v>858</v>
      </c>
      <c r="B240" s="1">
        <v>40582</v>
      </c>
      <c r="C240">
        <v>1</v>
      </c>
      <c r="D240">
        <v>0</v>
      </c>
      <c r="E240">
        <v>2</v>
      </c>
      <c r="F240">
        <v>4</v>
      </c>
      <c r="G240" t="b">
        <v>0</v>
      </c>
      <c r="H240">
        <v>2</v>
      </c>
      <c r="I240">
        <v>1</v>
      </c>
      <c r="J240">
        <v>0.26</v>
      </c>
      <c r="K240">
        <v>0.2576</v>
      </c>
      <c r="L240">
        <v>0.93</v>
      </c>
      <c r="M240">
        <v>0.16420000000000001</v>
      </c>
      <c r="N240">
        <v>0</v>
      </c>
      <c r="O240">
        <v>3</v>
      </c>
      <c r="P240">
        <v>3</v>
      </c>
    </row>
    <row r="241" spans="1:16" x14ac:dyDescent="0.3">
      <c r="A241">
        <v>859</v>
      </c>
      <c r="B241" s="1">
        <v>40582</v>
      </c>
      <c r="C241">
        <v>1</v>
      </c>
      <c r="D241">
        <v>0</v>
      </c>
      <c r="E241">
        <v>2</v>
      </c>
      <c r="F241">
        <v>5</v>
      </c>
      <c r="G241" t="b">
        <v>0</v>
      </c>
      <c r="H241">
        <v>2</v>
      </c>
      <c r="I241">
        <v>1</v>
      </c>
      <c r="J241">
        <v>0.26</v>
      </c>
      <c r="K241">
        <v>0.2273</v>
      </c>
      <c r="L241">
        <v>0.81</v>
      </c>
      <c r="M241">
        <v>0.32840000000000003</v>
      </c>
      <c r="N241">
        <v>0</v>
      </c>
      <c r="O241">
        <v>2</v>
      </c>
      <c r="P241">
        <v>2</v>
      </c>
    </row>
    <row r="242" spans="1:16" x14ac:dyDescent="0.3">
      <c r="A242">
        <v>860</v>
      </c>
      <c r="B242" s="1">
        <v>40582</v>
      </c>
      <c r="C242">
        <v>1</v>
      </c>
      <c r="D242">
        <v>0</v>
      </c>
      <c r="E242">
        <v>2</v>
      </c>
      <c r="F242">
        <v>6</v>
      </c>
      <c r="G242" t="b">
        <v>0</v>
      </c>
      <c r="H242">
        <v>2</v>
      </c>
      <c r="I242">
        <v>1</v>
      </c>
      <c r="J242">
        <v>0.26</v>
      </c>
      <c r="K242">
        <v>0.2273</v>
      </c>
      <c r="L242">
        <v>0.7</v>
      </c>
      <c r="M242">
        <v>0.32840000000000003</v>
      </c>
      <c r="N242">
        <v>0</v>
      </c>
      <c r="O242">
        <v>39</v>
      </c>
      <c r="P242">
        <v>39</v>
      </c>
    </row>
    <row r="243" spans="1:16" x14ac:dyDescent="0.3">
      <c r="A243">
        <v>861</v>
      </c>
      <c r="B243" s="1">
        <v>40582</v>
      </c>
      <c r="C243">
        <v>1</v>
      </c>
      <c r="D243">
        <v>0</v>
      </c>
      <c r="E243">
        <v>2</v>
      </c>
      <c r="F243">
        <v>7</v>
      </c>
      <c r="G243" t="b">
        <v>0</v>
      </c>
      <c r="H243">
        <v>2</v>
      </c>
      <c r="I243">
        <v>1</v>
      </c>
      <c r="J243">
        <v>0.24</v>
      </c>
      <c r="K243">
        <v>0.19700000000000001</v>
      </c>
      <c r="L243">
        <v>0.65</v>
      </c>
      <c r="M243">
        <v>0.41789999999999999</v>
      </c>
      <c r="N243">
        <v>3</v>
      </c>
      <c r="O243">
        <v>97</v>
      </c>
      <c r="P243">
        <v>100</v>
      </c>
    </row>
    <row r="244" spans="1:16" x14ac:dyDescent="0.3">
      <c r="A244">
        <v>862</v>
      </c>
      <c r="B244" s="1">
        <v>40582</v>
      </c>
      <c r="C244">
        <v>1</v>
      </c>
      <c r="D244">
        <v>0</v>
      </c>
      <c r="E244">
        <v>2</v>
      </c>
      <c r="F244">
        <v>8</v>
      </c>
      <c r="G244" t="b">
        <v>0</v>
      </c>
      <c r="H244">
        <v>2</v>
      </c>
      <c r="I244">
        <v>1</v>
      </c>
      <c r="J244">
        <v>0.24</v>
      </c>
      <c r="K244">
        <v>0.19700000000000001</v>
      </c>
      <c r="L244">
        <v>0.56000000000000005</v>
      </c>
      <c r="M244">
        <v>0.49249999999999999</v>
      </c>
      <c r="N244">
        <v>7</v>
      </c>
      <c r="O244">
        <v>236</v>
      </c>
      <c r="P244">
        <v>243</v>
      </c>
    </row>
    <row r="245" spans="1:16" x14ac:dyDescent="0.3">
      <c r="A245">
        <v>863</v>
      </c>
      <c r="B245" s="1">
        <v>40582</v>
      </c>
      <c r="C245">
        <v>1</v>
      </c>
      <c r="D245">
        <v>0</v>
      </c>
      <c r="E245">
        <v>2</v>
      </c>
      <c r="F245">
        <v>9</v>
      </c>
      <c r="G245" t="b">
        <v>0</v>
      </c>
      <c r="H245">
        <v>2</v>
      </c>
      <c r="I245">
        <v>1</v>
      </c>
      <c r="J245">
        <v>0.24</v>
      </c>
      <c r="K245">
        <v>0.19700000000000001</v>
      </c>
      <c r="L245">
        <v>0.52</v>
      </c>
      <c r="M245">
        <v>0.49249999999999999</v>
      </c>
      <c r="N245">
        <v>7</v>
      </c>
      <c r="O245">
        <v>128</v>
      </c>
      <c r="P245">
        <v>135</v>
      </c>
    </row>
    <row r="246" spans="1:16" x14ac:dyDescent="0.3">
      <c r="A246">
        <v>864</v>
      </c>
      <c r="B246" s="1">
        <v>40582</v>
      </c>
      <c r="C246">
        <v>1</v>
      </c>
      <c r="D246">
        <v>0</v>
      </c>
      <c r="E246">
        <v>2</v>
      </c>
      <c r="F246">
        <v>10</v>
      </c>
      <c r="G246" t="b">
        <v>0</v>
      </c>
      <c r="H246">
        <v>2</v>
      </c>
      <c r="I246">
        <v>1</v>
      </c>
      <c r="J246">
        <v>0.22</v>
      </c>
      <c r="K246">
        <v>0.18179999999999999</v>
      </c>
      <c r="L246">
        <v>0.47</v>
      </c>
      <c r="M246">
        <v>0.55220000000000002</v>
      </c>
      <c r="N246">
        <v>4</v>
      </c>
      <c r="O246">
        <v>44</v>
      </c>
      <c r="P246">
        <v>48</v>
      </c>
    </row>
    <row r="247" spans="1:16" x14ac:dyDescent="0.3">
      <c r="A247">
        <v>865</v>
      </c>
      <c r="B247" s="1">
        <v>40582</v>
      </c>
      <c r="C247">
        <v>1</v>
      </c>
      <c r="D247">
        <v>0</v>
      </c>
      <c r="E247">
        <v>2</v>
      </c>
      <c r="F247">
        <v>11</v>
      </c>
      <c r="G247" t="b">
        <v>0</v>
      </c>
      <c r="H247">
        <v>2</v>
      </c>
      <c r="I247">
        <v>1</v>
      </c>
      <c r="J247">
        <v>0.22</v>
      </c>
      <c r="K247">
        <v>0.18179999999999999</v>
      </c>
      <c r="L247">
        <v>0.47</v>
      </c>
      <c r="M247">
        <v>0.4627</v>
      </c>
      <c r="N247">
        <v>1</v>
      </c>
      <c r="O247">
        <v>49</v>
      </c>
      <c r="P247">
        <v>50</v>
      </c>
    </row>
    <row r="248" spans="1:16" x14ac:dyDescent="0.3">
      <c r="A248">
        <v>866</v>
      </c>
      <c r="B248" s="1">
        <v>40582</v>
      </c>
      <c r="C248">
        <v>1</v>
      </c>
      <c r="D248">
        <v>0</v>
      </c>
      <c r="E248">
        <v>2</v>
      </c>
      <c r="F248">
        <v>12</v>
      </c>
      <c r="G248" t="b">
        <v>0</v>
      </c>
      <c r="H248">
        <v>2</v>
      </c>
      <c r="I248">
        <v>1</v>
      </c>
      <c r="J248">
        <v>0.24</v>
      </c>
      <c r="K248">
        <v>0.19700000000000001</v>
      </c>
      <c r="L248">
        <v>0.38</v>
      </c>
      <c r="M248">
        <v>0.49249999999999999</v>
      </c>
      <c r="N248">
        <v>2</v>
      </c>
      <c r="O248">
        <v>63</v>
      </c>
      <c r="P248">
        <v>65</v>
      </c>
    </row>
    <row r="249" spans="1:16" x14ac:dyDescent="0.3">
      <c r="A249">
        <v>867</v>
      </c>
      <c r="B249" s="1">
        <v>40582</v>
      </c>
      <c r="C249">
        <v>1</v>
      </c>
      <c r="D249">
        <v>0</v>
      </c>
      <c r="E249">
        <v>2</v>
      </c>
      <c r="F249">
        <v>13</v>
      </c>
      <c r="G249" t="b">
        <v>0</v>
      </c>
      <c r="H249">
        <v>2</v>
      </c>
      <c r="I249">
        <v>2</v>
      </c>
      <c r="J249">
        <v>0.24</v>
      </c>
      <c r="K249">
        <v>0.19700000000000001</v>
      </c>
      <c r="L249">
        <v>0.32</v>
      </c>
      <c r="M249">
        <v>0.44779999999999998</v>
      </c>
      <c r="N249">
        <v>2</v>
      </c>
      <c r="O249">
        <v>48</v>
      </c>
      <c r="P249">
        <v>50</v>
      </c>
    </row>
    <row r="250" spans="1:16" x14ac:dyDescent="0.3">
      <c r="A250">
        <v>868</v>
      </c>
      <c r="B250" s="1">
        <v>40582</v>
      </c>
      <c r="C250">
        <v>1</v>
      </c>
      <c r="D250">
        <v>0</v>
      </c>
      <c r="E250">
        <v>2</v>
      </c>
      <c r="F250">
        <v>14</v>
      </c>
      <c r="G250" t="b">
        <v>0</v>
      </c>
      <c r="H250">
        <v>2</v>
      </c>
      <c r="I250">
        <v>1</v>
      </c>
      <c r="J250">
        <v>0.22</v>
      </c>
      <c r="K250">
        <v>0.19700000000000001</v>
      </c>
      <c r="L250">
        <v>0.37</v>
      </c>
      <c r="M250">
        <v>0.41789999999999999</v>
      </c>
      <c r="N250">
        <v>3</v>
      </c>
      <c r="O250">
        <v>61</v>
      </c>
      <c r="P250">
        <v>64</v>
      </c>
    </row>
    <row r="251" spans="1:16" x14ac:dyDescent="0.3">
      <c r="A251">
        <v>869</v>
      </c>
      <c r="B251" s="1">
        <v>40582</v>
      </c>
      <c r="C251">
        <v>1</v>
      </c>
      <c r="D251">
        <v>0</v>
      </c>
      <c r="E251">
        <v>2</v>
      </c>
      <c r="F251">
        <v>15</v>
      </c>
      <c r="G251" t="b">
        <v>0</v>
      </c>
      <c r="H251">
        <v>2</v>
      </c>
      <c r="I251">
        <v>1</v>
      </c>
      <c r="J251">
        <v>0.22</v>
      </c>
      <c r="K251">
        <v>0.19700000000000001</v>
      </c>
      <c r="L251">
        <v>0.35</v>
      </c>
      <c r="M251">
        <v>0.3881</v>
      </c>
      <c r="N251">
        <v>6</v>
      </c>
      <c r="O251">
        <v>45</v>
      </c>
      <c r="P251">
        <v>51</v>
      </c>
    </row>
    <row r="252" spans="1:16" x14ac:dyDescent="0.3">
      <c r="A252">
        <v>870</v>
      </c>
      <c r="B252" s="1">
        <v>40582</v>
      </c>
      <c r="C252">
        <v>1</v>
      </c>
      <c r="D252">
        <v>0</v>
      </c>
      <c r="E252">
        <v>2</v>
      </c>
      <c r="F252">
        <v>16</v>
      </c>
      <c r="G252" t="b">
        <v>0</v>
      </c>
      <c r="H252">
        <v>2</v>
      </c>
      <c r="I252">
        <v>1</v>
      </c>
      <c r="J252">
        <v>0.22</v>
      </c>
      <c r="K252">
        <v>0.18179999999999999</v>
      </c>
      <c r="L252">
        <v>0.35</v>
      </c>
      <c r="M252">
        <v>0.52239999999999998</v>
      </c>
      <c r="N252">
        <v>4</v>
      </c>
      <c r="O252">
        <v>79</v>
      </c>
      <c r="P252">
        <v>83</v>
      </c>
    </row>
    <row r="253" spans="1:16" x14ac:dyDescent="0.3">
      <c r="A253">
        <v>871</v>
      </c>
      <c r="B253" s="1">
        <v>40582</v>
      </c>
      <c r="C253">
        <v>1</v>
      </c>
      <c r="D253">
        <v>0</v>
      </c>
      <c r="E253">
        <v>2</v>
      </c>
      <c r="F253">
        <v>17</v>
      </c>
      <c r="G253" t="b">
        <v>0</v>
      </c>
      <c r="H253">
        <v>2</v>
      </c>
      <c r="I253">
        <v>1</v>
      </c>
      <c r="J253">
        <v>0.22</v>
      </c>
      <c r="K253">
        <v>0.18179999999999999</v>
      </c>
      <c r="L253">
        <v>0.32</v>
      </c>
      <c r="M253">
        <v>0.58209999999999995</v>
      </c>
      <c r="N253">
        <v>4</v>
      </c>
      <c r="O253">
        <v>172</v>
      </c>
      <c r="P253">
        <v>176</v>
      </c>
    </row>
    <row r="254" spans="1:16" x14ac:dyDescent="0.3">
      <c r="A254">
        <v>872</v>
      </c>
      <c r="B254" s="1">
        <v>40582</v>
      </c>
      <c r="C254">
        <v>1</v>
      </c>
      <c r="D254">
        <v>0</v>
      </c>
      <c r="E254">
        <v>2</v>
      </c>
      <c r="F254">
        <v>18</v>
      </c>
      <c r="G254" t="b">
        <v>0</v>
      </c>
      <c r="H254">
        <v>2</v>
      </c>
      <c r="I254">
        <v>1</v>
      </c>
      <c r="J254">
        <v>0.2</v>
      </c>
      <c r="K254">
        <v>0.18179999999999999</v>
      </c>
      <c r="L254">
        <v>0.32</v>
      </c>
      <c r="M254">
        <v>0.3881</v>
      </c>
      <c r="N254">
        <v>1</v>
      </c>
      <c r="O254">
        <v>151</v>
      </c>
      <c r="P254">
        <v>152</v>
      </c>
    </row>
    <row r="255" spans="1:16" x14ac:dyDescent="0.3">
      <c r="A255">
        <v>873</v>
      </c>
      <c r="B255" s="1">
        <v>40582</v>
      </c>
      <c r="C255">
        <v>1</v>
      </c>
      <c r="D255">
        <v>0</v>
      </c>
      <c r="E255">
        <v>2</v>
      </c>
      <c r="F255">
        <v>19</v>
      </c>
      <c r="G255" t="b">
        <v>0</v>
      </c>
      <c r="H255">
        <v>2</v>
      </c>
      <c r="I255">
        <v>1</v>
      </c>
      <c r="J255">
        <v>0.16</v>
      </c>
      <c r="K255">
        <v>0.1212</v>
      </c>
      <c r="L255">
        <v>0.4</v>
      </c>
      <c r="M255">
        <v>0.4627</v>
      </c>
      <c r="N255">
        <v>1</v>
      </c>
      <c r="O255">
        <v>100</v>
      </c>
      <c r="P255">
        <v>101</v>
      </c>
    </row>
    <row r="256" spans="1:16" x14ac:dyDescent="0.3">
      <c r="A256">
        <v>874</v>
      </c>
      <c r="B256" s="1">
        <v>40582</v>
      </c>
      <c r="C256">
        <v>1</v>
      </c>
      <c r="D256">
        <v>0</v>
      </c>
      <c r="E256">
        <v>2</v>
      </c>
      <c r="F256">
        <v>20</v>
      </c>
      <c r="G256" t="b">
        <v>0</v>
      </c>
      <c r="H256">
        <v>2</v>
      </c>
      <c r="I256">
        <v>1</v>
      </c>
      <c r="J256">
        <v>0.16</v>
      </c>
      <c r="K256">
        <v>0.13639999999999999</v>
      </c>
      <c r="L256">
        <v>0.4</v>
      </c>
      <c r="M256">
        <v>0.32840000000000003</v>
      </c>
      <c r="N256">
        <v>3</v>
      </c>
      <c r="O256">
        <v>53</v>
      </c>
      <c r="P256">
        <v>56</v>
      </c>
    </row>
    <row r="257" spans="1:16" x14ac:dyDescent="0.3">
      <c r="A257">
        <v>875</v>
      </c>
      <c r="B257" s="1">
        <v>40582</v>
      </c>
      <c r="C257">
        <v>1</v>
      </c>
      <c r="D257">
        <v>0</v>
      </c>
      <c r="E257">
        <v>2</v>
      </c>
      <c r="F257">
        <v>21</v>
      </c>
      <c r="G257" t="b">
        <v>0</v>
      </c>
      <c r="H257">
        <v>2</v>
      </c>
      <c r="I257">
        <v>1</v>
      </c>
      <c r="J257">
        <v>0.14000000000000001</v>
      </c>
      <c r="K257">
        <v>0.1061</v>
      </c>
      <c r="L257">
        <v>0.33</v>
      </c>
      <c r="M257">
        <v>0.4627</v>
      </c>
      <c r="N257">
        <v>8</v>
      </c>
      <c r="O257">
        <v>46</v>
      </c>
      <c r="P257">
        <v>54</v>
      </c>
    </row>
    <row r="258" spans="1:16" x14ac:dyDescent="0.3">
      <c r="A258">
        <v>876</v>
      </c>
      <c r="B258" s="1">
        <v>40582</v>
      </c>
      <c r="C258">
        <v>1</v>
      </c>
      <c r="D258">
        <v>0</v>
      </c>
      <c r="E258">
        <v>2</v>
      </c>
      <c r="F258">
        <v>22</v>
      </c>
      <c r="G258" t="b">
        <v>0</v>
      </c>
      <c r="H258">
        <v>2</v>
      </c>
      <c r="I258">
        <v>1</v>
      </c>
      <c r="J258">
        <v>0.12</v>
      </c>
      <c r="K258">
        <v>0.1061</v>
      </c>
      <c r="L258">
        <v>0.33</v>
      </c>
      <c r="M258">
        <v>0.35820000000000002</v>
      </c>
      <c r="N258">
        <v>0</v>
      </c>
      <c r="O258">
        <v>29</v>
      </c>
      <c r="P258">
        <v>29</v>
      </c>
    </row>
    <row r="259" spans="1:16" x14ac:dyDescent="0.3">
      <c r="A259">
        <v>877</v>
      </c>
      <c r="B259" s="1">
        <v>40582</v>
      </c>
      <c r="C259">
        <v>1</v>
      </c>
      <c r="D259">
        <v>0</v>
      </c>
      <c r="E259">
        <v>2</v>
      </c>
      <c r="F259">
        <v>23</v>
      </c>
      <c r="G259" t="b">
        <v>0</v>
      </c>
      <c r="H259">
        <v>2</v>
      </c>
      <c r="I259">
        <v>1</v>
      </c>
      <c r="J259">
        <v>0.12</v>
      </c>
      <c r="K259">
        <v>0.1061</v>
      </c>
      <c r="L259">
        <v>0.33</v>
      </c>
      <c r="M259">
        <v>0.32840000000000003</v>
      </c>
      <c r="N259">
        <v>3</v>
      </c>
      <c r="O259">
        <v>9</v>
      </c>
      <c r="P259">
        <v>12</v>
      </c>
    </row>
    <row r="260" spans="1:16" x14ac:dyDescent="0.3">
      <c r="A260">
        <v>878</v>
      </c>
      <c r="B260" s="1">
        <v>40583</v>
      </c>
      <c r="C260">
        <v>1</v>
      </c>
      <c r="D260">
        <v>0</v>
      </c>
      <c r="E260">
        <v>2</v>
      </c>
      <c r="F260">
        <v>0</v>
      </c>
      <c r="G260" t="b">
        <v>0</v>
      </c>
      <c r="H260">
        <v>3</v>
      </c>
      <c r="I260">
        <v>1</v>
      </c>
      <c r="J260">
        <v>0.1</v>
      </c>
      <c r="K260">
        <v>7.5800000000000006E-2</v>
      </c>
      <c r="L260">
        <v>0.36</v>
      </c>
      <c r="M260">
        <v>0.35820000000000002</v>
      </c>
      <c r="N260">
        <v>0</v>
      </c>
      <c r="O260">
        <v>17</v>
      </c>
      <c r="P260">
        <v>17</v>
      </c>
    </row>
    <row r="261" spans="1:16" x14ac:dyDescent="0.3">
      <c r="A261">
        <v>879</v>
      </c>
      <c r="B261" s="1">
        <v>40583</v>
      </c>
      <c r="C261">
        <v>1</v>
      </c>
      <c r="D261">
        <v>0</v>
      </c>
      <c r="E261">
        <v>2</v>
      </c>
      <c r="F261">
        <v>1</v>
      </c>
      <c r="G261" t="b">
        <v>0</v>
      </c>
      <c r="H261">
        <v>3</v>
      </c>
      <c r="I261">
        <v>1</v>
      </c>
      <c r="J261">
        <v>0.1</v>
      </c>
      <c r="K261">
        <v>0.1061</v>
      </c>
      <c r="L261">
        <v>0.36</v>
      </c>
      <c r="M261">
        <v>0.22389999999999999</v>
      </c>
      <c r="N261">
        <v>0</v>
      </c>
      <c r="O261">
        <v>7</v>
      </c>
      <c r="P261">
        <v>7</v>
      </c>
    </row>
    <row r="262" spans="1:16" x14ac:dyDescent="0.3">
      <c r="A262">
        <v>880</v>
      </c>
      <c r="B262" s="1">
        <v>40583</v>
      </c>
      <c r="C262">
        <v>1</v>
      </c>
      <c r="D262">
        <v>0</v>
      </c>
      <c r="E262">
        <v>2</v>
      </c>
      <c r="F262">
        <v>2</v>
      </c>
      <c r="G262" t="b">
        <v>0</v>
      </c>
      <c r="H262">
        <v>3</v>
      </c>
      <c r="I262">
        <v>1</v>
      </c>
      <c r="J262">
        <v>0.08</v>
      </c>
      <c r="K262">
        <v>7.5800000000000006E-2</v>
      </c>
      <c r="L262">
        <v>0.38</v>
      </c>
      <c r="M262">
        <v>0.28360000000000002</v>
      </c>
      <c r="N262">
        <v>1</v>
      </c>
      <c r="O262">
        <v>2</v>
      </c>
      <c r="P262">
        <v>3</v>
      </c>
    </row>
    <row r="263" spans="1:16" x14ac:dyDescent="0.3">
      <c r="A263">
        <v>881</v>
      </c>
      <c r="B263" s="1">
        <v>40583</v>
      </c>
      <c r="C263">
        <v>1</v>
      </c>
      <c r="D263">
        <v>0</v>
      </c>
      <c r="E263">
        <v>2</v>
      </c>
      <c r="F263">
        <v>3</v>
      </c>
      <c r="G263" t="b">
        <v>0</v>
      </c>
      <c r="H263">
        <v>3</v>
      </c>
      <c r="I263">
        <v>1</v>
      </c>
      <c r="J263">
        <v>0.06</v>
      </c>
      <c r="K263">
        <v>7.5800000000000006E-2</v>
      </c>
      <c r="L263">
        <v>0.45</v>
      </c>
      <c r="M263">
        <v>0.1343</v>
      </c>
      <c r="N263">
        <v>0</v>
      </c>
      <c r="O263">
        <v>2</v>
      </c>
      <c r="P263">
        <v>2</v>
      </c>
    </row>
    <row r="264" spans="1:16" x14ac:dyDescent="0.3">
      <c r="A264">
        <v>882</v>
      </c>
      <c r="B264" s="1">
        <v>40583</v>
      </c>
      <c r="C264">
        <v>1</v>
      </c>
      <c r="D264">
        <v>0</v>
      </c>
      <c r="E264">
        <v>2</v>
      </c>
      <c r="F264">
        <v>5</v>
      </c>
      <c r="G264" t="b">
        <v>0</v>
      </c>
      <c r="H264">
        <v>3</v>
      </c>
      <c r="I264">
        <v>1</v>
      </c>
      <c r="J264">
        <v>0.06</v>
      </c>
      <c r="K264">
        <v>0.1061</v>
      </c>
      <c r="L264">
        <v>0.45</v>
      </c>
      <c r="M264">
        <v>0.1045</v>
      </c>
      <c r="N264">
        <v>0</v>
      </c>
      <c r="O264">
        <v>7</v>
      </c>
      <c r="P264">
        <v>7</v>
      </c>
    </row>
    <row r="265" spans="1:16" x14ac:dyDescent="0.3">
      <c r="A265">
        <v>883</v>
      </c>
      <c r="B265" s="1">
        <v>40583</v>
      </c>
      <c r="C265">
        <v>1</v>
      </c>
      <c r="D265">
        <v>0</v>
      </c>
      <c r="E265">
        <v>2</v>
      </c>
      <c r="F265">
        <v>6</v>
      </c>
      <c r="G265" t="b">
        <v>0</v>
      </c>
      <c r="H265">
        <v>3</v>
      </c>
      <c r="I265">
        <v>1</v>
      </c>
      <c r="J265">
        <v>0.06</v>
      </c>
      <c r="K265">
        <v>0.1515</v>
      </c>
      <c r="L265">
        <v>0.45</v>
      </c>
      <c r="M265">
        <v>0</v>
      </c>
      <c r="N265">
        <v>0</v>
      </c>
      <c r="O265">
        <v>43</v>
      </c>
      <c r="P265">
        <v>43</v>
      </c>
    </row>
    <row r="266" spans="1:16" x14ac:dyDescent="0.3">
      <c r="A266">
        <v>884</v>
      </c>
      <c r="B266" s="1">
        <v>40583</v>
      </c>
      <c r="C266">
        <v>1</v>
      </c>
      <c r="D266">
        <v>0</v>
      </c>
      <c r="E266">
        <v>2</v>
      </c>
      <c r="F266">
        <v>7</v>
      </c>
      <c r="G266" t="b">
        <v>0</v>
      </c>
      <c r="H266">
        <v>3</v>
      </c>
      <c r="I266">
        <v>1</v>
      </c>
      <c r="J266">
        <v>0.06</v>
      </c>
      <c r="K266">
        <v>0.1061</v>
      </c>
      <c r="L266">
        <v>0.49</v>
      </c>
      <c r="M266">
        <v>0.1045</v>
      </c>
      <c r="N266">
        <v>4</v>
      </c>
      <c r="O266">
        <v>95</v>
      </c>
      <c r="P266">
        <v>99</v>
      </c>
    </row>
    <row r="267" spans="1:16" x14ac:dyDescent="0.3">
      <c r="A267">
        <v>885</v>
      </c>
      <c r="B267" s="1">
        <v>40583</v>
      </c>
      <c r="C267">
        <v>1</v>
      </c>
      <c r="D267">
        <v>0</v>
      </c>
      <c r="E267">
        <v>2</v>
      </c>
      <c r="F267">
        <v>8</v>
      </c>
      <c r="G267" t="b">
        <v>0</v>
      </c>
      <c r="H267">
        <v>3</v>
      </c>
      <c r="I267">
        <v>1</v>
      </c>
      <c r="J267">
        <v>0.1</v>
      </c>
      <c r="K267">
        <v>0.13639999999999999</v>
      </c>
      <c r="L267">
        <v>0.42</v>
      </c>
      <c r="M267">
        <v>0</v>
      </c>
      <c r="N267">
        <v>1</v>
      </c>
      <c r="O267">
        <v>198</v>
      </c>
      <c r="P267">
        <v>199</v>
      </c>
    </row>
    <row r="268" spans="1:16" x14ac:dyDescent="0.3">
      <c r="A268">
        <v>886</v>
      </c>
      <c r="B268" s="1">
        <v>40583</v>
      </c>
      <c r="C268">
        <v>1</v>
      </c>
      <c r="D268">
        <v>0</v>
      </c>
      <c r="E268">
        <v>2</v>
      </c>
      <c r="F268">
        <v>9</v>
      </c>
      <c r="G268" t="b">
        <v>0</v>
      </c>
      <c r="H268">
        <v>3</v>
      </c>
      <c r="I268">
        <v>1</v>
      </c>
      <c r="J268">
        <v>0.12</v>
      </c>
      <c r="K268">
        <v>0.13639999999999999</v>
      </c>
      <c r="L268">
        <v>0.39</v>
      </c>
      <c r="M268">
        <v>0.16420000000000001</v>
      </c>
      <c r="N268">
        <v>4</v>
      </c>
      <c r="O268">
        <v>119</v>
      </c>
      <c r="P268">
        <v>123</v>
      </c>
    </row>
    <row r="269" spans="1:16" x14ac:dyDescent="0.3">
      <c r="A269">
        <v>887</v>
      </c>
      <c r="B269" s="1">
        <v>40583</v>
      </c>
      <c r="C269">
        <v>1</v>
      </c>
      <c r="D269">
        <v>0</v>
      </c>
      <c r="E269">
        <v>2</v>
      </c>
      <c r="F269">
        <v>10</v>
      </c>
      <c r="G269" t="b">
        <v>0</v>
      </c>
      <c r="H269">
        <v>3</v>
      </c>
      <c r="I269">
        <v>1</v>
      </c>
      <c r="J269">
        <v>0.14000000000000001</v>
      </c>
      <c r="K269">
        <v>0.18179999999999999</v>
      </c>
      <c r="L269">
        <v>0.36</v>
      </c>
      <c r="M269">
        <v>0</v>
      </c>
      <c r="N269">
        <v>8</v>
      </c>
      <c r="O269">
        <v>51</v>
      </c>
      <c r="P269">
        <v>59</v>
      </c>
    </row>
    <row r="270" spans="1:16" x14ac:dyDescent="0.3">
      <c r="A270">
        <v>888</v>
      </c>
      <c r="B270" s="1">
        <v>40583</v>
      </c>
      <c r="C270">
        <v>1</v>
      </c>
      <c r="D270">
        <v>0</v>
      </c>
      <c r="E270">
        <v>2</v>
      </c>
      <c r="F270">
        <v>11</v>
      </c>
      <c r="G270" t="b">
        <v>0</v>
      </c>
      <c r="H270">
        <v>3</v>
      </c>
      <c r="I270">
        <v>2</v>
      </c>
      <c r="J270">
        <v>0.14000000000000001</v>
      </c>
      <c r="K270">
        <v>0.1515</v>
      </c>
      <c r="L270">
        <v>0.43</v>
      </c>
      <c r="M270">
        <v>0.16420000000000001</v>
      </c>
      <c r="N270">
        <v>1</v>
      </c>
      <c r="O270">
        <v>40</v>
      </c>
      <c r="P270">
        <v>41</v>
      </c>
    </row>
    <row r="271" spans="1:16" x14ac:dyDescent="0.3">
      <c r="A271">
        <v>889</v>
      </c>
      <c r="B271" s="1">
        <v>40583</v>
      </c>
      <c r="C271">
        <v>1</v>
      </c>
      <c r="D271">
        <v>0</v>
      </c>
      <c r="E271">
        <v>2</v>
      </c>
      <c r="F271">
        <v>12</v>
      </c>
      <c r="G271" t="b">
        <v>0</v>
      </c>
      <c r="H271">
        <v>3</v>
      </c>
      <c r="I271">
        <v>2</v>
      </c>
      <c r="J271">
        <v>0.18</v>
      </c>
      <c r="K271">
        <v>0.18179999999999999</v>
      </c>
      <c r="L271">
        <v>0.4</v>
      </c>
      <c r="M271">
        <v>0.22389999999999999</v>
      </c>
      <c r="N271">
        <v>4</v>
      </c>
      <c r="O271">
        <v>57</v>
      </c>
      <c r="P271">
        <v>61</v>
      </c>
    </row>
    <row r="272" spans="1:16" x14ac:dyDescent="0.3">
      <c r="A272">
        <v>890</v>
      </c>
      <c r="B272" s="1">
        <v>40583</v>
      </c>
      <c r="C272">
        <v>1</v>
      </c>
      <c r="D272">
        <v>0</v>
      </c>
      <c r="E272">
        <v>2</v>
      </c>
      <c r="F272">
        <v>13</v>
      </c>
      <c r="G272" t="b">
        <v>0</v>
      </c>
      <c r="H272">
        <v>3</v>
      </c>
      <c r="I272">
        <v>1</v>
      </c>
      <c r="J272">
        <v>0.18</v>
      </c>
      <c r="K272">
        <v>0.16669999999999999</v>
      </c>
      <c r="L272">
        <v>0.4</v>
      </c>
      <c r="M272">
        <v>0.25369999999999998</v>
      </c>
      <c r="N272">
        <v>2</v>
      </c>
      <c r="O272">
        <v>67</v>
      </c>
      <c r="P272">
        <v>69</v>
      </c>
    </row>
    <row r="273" spans="1:16" x14ac:dyDescent="0.3">
      <c r="A273">
        <v>891</v>
      </c>
      <c r="B273" s="1">
        <v>40583</v>
      </c>
      <c r="C273">
        <v>1</v>
      </c>
      <c r="D273">
        <v>0</v>
      </c>
      <c r="E273">
        <v>2</v>
      </c>
      <c r="F273">
        <v>14</v>
      </c>
      <c r="G273" t="b">
        <v>0</v>
      </c>
      <c r="H273">
        <v>3</v>
      </c>
      <c r="I273">
        <v>1</v>
      </c>
      <c r="J273">
        <v>0.2</v>
      </c>
      <c r="K273">
        <v>0.18179999999999999</v>
      </c>
      <c r="L273">
        <v>0.34</v>
      </c>
      <c r="M273">
        <v>0.29849999999999999</v>
      </c>
      <c r="N273">
        <v>2</v>
      </c>
      <c r="O273">
        <v>56</v>
      </c>
      <c r="P273">
        <v>58</v>
      </c>
    </row>
    <row r="274" spans="1:16" x14ac:dyDescent="0.3">
      <c r="A274">
        <v>892</v>
      </c>
      <c r="B274" s="1">
        <v>40583</v>
      </c>
      <c r="C274">
        <v>1</v>
      </c>
      <c r="D274">
        <v>0</v>
      </c>
      <c r="E274">
        <v>2</v>
      </c>
      <c r="F274">
        <v>15</v>
      </c>
      <c r="G274" t="b">
        <v>0</v>
      </c>
      <c r="H274">
        <v>3</v>
      </c>
      <c r="I274">
        <v>2</v>
      </c>
      <c r="J274">
        <v>0.2</v>
      </c>
      <c r="K274">
        <v>0.18179999999999999</v>
      </c>
      <c r="L274">
        <v>0.34</v>
      </c>
      <c r="M274">
        <v>0.28360000000000002</v>
      </c>
      <c r="N274">
        <v>3</v>
      </c>
      <c r="O274">
        <v>61</v>
      </c>
      <c r="P274">
        <v>64</v>
      </c>
    </row>
    <row r="275" spans="1:16" x14ac:dyDescent="0.3">
      <c r="A275">
        <v>893</v>
      </c>
      <c r="B275" s="1">
        <v>40583</v>
      </c>
      <c r="C275">
        <v>1</v>
      </c>
      <c r="D275">
        <v>0</v>
      </c>
      <c r="E275">
        <v>2</v>
      </c>
      <c r="F275">
        <v>16</v>
      </c>
      <c r="G275" t="b">
        <v>0</v>
      </c>
      <c r="H275">
        <v>3</v>
      </c>
      <c r="I275">
        <v>2</v>
      </c>
      <c r="J275">
        <v>0.2</v>
      </c>
      <c r="K275">
        <v>0.19700000000000001</v>
      </c>
      <c r="L275">
        <v>0.37</v>
      </c>
      <c r="M275">
        <v>0.25369999999999998</v>
      </c>
      <c r="N275">
        <v>7</v>
      </c>
      <c r="O275">
        <v>72</v>
      </c>
      <c r="P275">
        <v>79</v>
      </c>
    </row>
    <row r="276" spans="1:16" x14ac:dyDescent="0.3">
      <c r="A276">
        <v>894</v>
      </c>
      <c r="B276" s="1">
        <v>40583</v>
      </c>
      <c r="C276">
        <v>1</v>
      </c>
      <c r="D276">
        <v>0</v>
      </c>
      <c r="E276">
        <v>2</v>
      </c>
      <c r="F276">
        <v>17</v>
      </c>
      <c r="G276" t="b">
        <v>0</v>
      </c>
      <c r="H276">
        <v>3</v>
      </c>
      <c r="I276">
        <v>2</v>
      </c>
      <c r="J276">
        <v>0.2</v>
      </c>
      <c r="K276">
        <v>0.19700000000000001</v>
      </c>
      <c r="L276">
        <v>0.34</v>
      </c>
      <c r="M276">
        <v>0.25369999999999998</v>
      </c>
      <c r="N276">
        <v>9</v>
      </c>
      <c r="O276">
        <v>157</v>
      </c>
      <c r="P276">
        <v>166</v>
      </c>
    </row>
    <row r="277" spans="1:16" x14ac:dyDescent="0.3">
      <c r="A277">
        <v>895</v>
      </c>
      <c r="B277" s="1">
        <v>40583</v>
      </c>
      <c r="C277">
        <v>1</v>
      </c>
      <c r="D277">
        <v>0</v>
      </c>
      <c r="E277">
        <v>2</v>
      </c>
      <c r="F277">
        <v>18</v>
      </c>
      <c r="G277" t="b">
        <v>0</v>
      </c>
      <c r="H277">
        <v>3</v>
      </c>
      <c r="I277">
        <v>2</v>
      </c>
      <c r="J277">
        <v>0.18</v>
      </c>
      <c r="K277">
        <v>0.16669999999999999</v>
      </c>
      <c r="L277">
        <v>0.47</v>
      </c>
      <c r="M277">
        <v>0.29849999999999999</v>
      </c>
      <c r="N277">
        <v>2</v>
      </c>
      <c r="O277">
        <v>168</v>
      </c>
      <c r="P277">
        <v>170</v>
      </c>
    </row>
    <row r="278" spans="1:16" x14ac:dyDescent="0.3">
      <c r="A278">
        <v>896</v>
      </c>
      <c r="B278" s="1">
        <v>40583</v>
      </c>
      <c r="C278">
        <v>1</v>
      </c>
      <c r="D278">
        <v>0</v>
      </c>
      <c r="E278">
        <v>2</v>
      </c>
      <c r="F278">
        <v>19</v>
      </c>
      <c r="G278" t="b">
        <v>0</v>
      </c>
      <c r="H278">
        <v>3</v>
      </c>
      <c r="I278">
        <v>3</v>
      </c>
      <c r="J278">
        <v>0.14000000000000001</v>
      </c>
      <c r="K278">
        <v>0.1212</v>
      </c>
      <c r="L278">
        <v>0.86</v>
      </c>
      <c r="M278">
        <v>0.25369999999999998</v>
      </c>
      <c r="N278">
        <v>1</v>
      </c>
      <c r="O278">
        <v>87</v>
      </c>
      <c r="P278">
        <v>88</v>
      </c>
    </row>
    <row r="279" spans="1:16" x14ac:dyDescent="0.3">
      <c r="A279">
        <v>897</v>
      </c>
      <c r="B279" s="1">
        <v>40583</v>
      </c>
      <c r="C279">
        <v>1</v>
      </c>
      <c r="D279">
        <v>0</v>
      </c>
      <c r="E279">
        <v>2</v>
      </c>
      <c r="F279">
        <v>20</v>
      </c>
      <c r="G279" t="b">
        <v>0</v>
      </c>
      <c r="H279">
        <v>3</v>
      </c>
      <c r="I279">
        <v>3</v>
      </c>
      <c r="J279">
        <v>0.14000000000000001</v>
      </c>
      <c r="K279">
        <v>0.1515</v>
      </c>
      <c r="L279">
        <v>0.86</v>
      </c>
      <c r="M279">
        <v>0.16420000000000001</v>
      </c>
      <c r="N279">
        <v>0</v>
      </c>
      <c r="O279">
        <v>84</v>
      </c>
      <c r="P279">
        <v>84</v>
      </c>
    </row>
    <row r="280" spans="1:16" x14ac:dyDescent="0.3">
      <c r="A280">
        <v>898</v>
      </c>
      <c r="B280" s="1">
        <v>40583</v>
      </c>
      <c r="C280">
        <v>1</v>
      </c>
      <c r="D280">
        <v>0</v>
      </c>
      <c r="E280">
        <v>2</v>
      </c>
      <c r="F280">
        <v>21</v>
      </c>
      <c r="G280" t="b">
        <v>0</v>
      </c>
      <c r="H280">
        <v>3</v>
      </c>
      <c r="I280">
        <v>2</v>
      </c>
      <c r="J280">
        <v>0.14000000000000001</v>
      </c>
      <c r="K280">
        <v>0.1515</v>
      </c>
      <c r="L280">
        <v>0.86</v>
      </c>
      <c r="M280">
        <v>0.16420000000000001</v>
      </c>
      <c r="N280">
        <v>0</v>
      </c>
      <c r="O280">
        <v>83</v>
      </c>
      <c r="P280">
        <v>83</v>
      </c>
    </row>
    <row r="281" spans="1:16" x14ac:dyDescent="0.3">
      <c r="A281">
        <v>899</v>
      </c>
      <c r="B281" s="1">
        <v>40583</v>
      </c>
      <c r="C281">
        <v>1</v>
      </c>
      <c r="D281">
        <v>0</v>
      </c>
      <c r="E281">
        <v>2</v>
      </c>
      <c r="F281">
        <v>22</v>
      </c>
      <c r="G281" t="b">
        <v>0</v>
      </c>
      <c r="H281">
        <v>3</v>
      </c>
      <c r="I281">
        <v>3</v>
      </c>
      <c r="J281">
        <v>0.16</v>
      </c>
      <c r="K281">
        <v>0.16669999999999999</v>
      </c>
      <c r="L281">
        <v>0.8</v>
      </c>
      <c r="M281">
        <v>0.16420000000000001</v>
      </c>
      <c r="N281">
        <v>4</v>
      </c>
      <c r="O281">
        <v>42</v>
      </c>
      <c r="P281">
        <v>46</v>
      </c>
    </row>
    <row r="282" spans="1:16" x14ac:dyDescent="0.3">
      <c r="A282">
        <v>900</v>
      </c>
      <c r="B282" s="1">
        <v>40583</v>
      </c>
      <c r="C282">
        <v>1</v>
      </c>
      <c r="D282">
        <v>0</v>
      </c>
      <c r="E282">
        <v>2</v>
      </c>
      <c r="F282">
        <v>23</v>
      </c>
      <c r="G282" t="b">
        <v>0</v>
      </c>
      <c r="H282">
        <v>3</v>
      </c>
      <c r="I282">
        <v>3</v>
      </c>
      <c r="J282">
        <v>0.16</v>
      </c>
      <c r="K282">
        <v>0.1515</v>
      </c>
      <c r="L282">
        <v>0.8</v>
      </c>
      <c r="M282">
        <v>0.19400000000000001</v>
      </c>
      <c r="N282">
        <v>0</v>
      </c>
      <c r="O282">
        <v>37</v>
      </c>
      <c r="P282">
        <v>37</v>
      </c>
    </row>
    <row r="283" spans="1:16" x14ac:dyDescent="0.3">
      <c r="A283">
        <v>901</v>
      </c>
      <c r="B283" s="1">
        <v>40584</v>
      </c>
      <c r="C283">
        <v>1</v>
      </c>
      <c r="D283">
        <v>0</v>
      </c>
      <c r="E283">
        <v>2</v>
      </c>
      <c r="F283">
        <v>0</v>
      </c>
      <c r="G283" t="b">
        <v>0</v>
      </c>
      <c r="H283">
        <v>4</v>
      </c>
      <c r="I283">
        <v>3</v>
      </c>
      <c r="J283">
        <v>0.14000000000000001</v>
      </c>
      <c r="K283">
        <v>0.13639999999999999</v>
      </c>
      <c r="L283">
        <v>0.86</v>
      </c>
      <c r="M283">
        <v>0.19400000000000001</v>
      </c>
      <c r="N283">
        <v>0</v>
      </c>
      <c r="O283">
        <v>16</v>
      </c>
      <c r="P283">
        <v>16</v>
      </c>
    </row>
    <row r="284" spans="1:16" x14ac:dyDescent="0.3">
      <c r="A284">
        <v>902</v>
      </c>
      <c r="B284" s="1">
        <v>40584</v>
      </c>
      <c r="C284">
        <v>1</v>
      </c>
      <c r="D284">
        <v>0</v>
      </c>
      <c r="E284">
        <v>2</v>
      </c>
      <c r="F284">
        <v>1</v>
      </c>
      <c r="G284" t="b">
        <v>0</v>
      </c>
      <c r="H284">
        <v>4</v>
      </c>
      <c r="I284">
        <v>3</v>
      </c>
      <c r="J284">
        <v>0.14000000000000001</v>
      </c>
      <c r="K284">
        <v>0.1515</v>
      </c>
      <c r="L284">
        <v>0.8</v>
      </c>
      <c r="M284">
        <v>0.1343</v>
      </c>
      <c r="N284">
        <v>0</v>
      </c>
      <c r="O284">
        <v>7</v>
      </c>
      <c r="P284">
        <v>7</v>
      </c>
    </row>
    <row r="285" spans="1:16" x14ac:dyDescent="0.3">
      <c r="A285">
        <v>903</v>
      </c>
      <c r="B285" s="1">
        <v>40584</v>
      </c>
      <c r="C285">
        <v>1</v>
      </c>
      <c r="D285">
        <v>0</v>
      </c>
      <c r="E285">
        <v>2</v>
      </c>
      <c r="F285">
        <v>2</v>
      </c>
      <c r="G285" t="b">
        <v>0</v>
      </c>
      <c r="H285">
        <v>4</v>
      </c>
      <c r="I285">
        <v>3</v>
      </c>
      <c r="J285">
        <v>0.14000000000000001</v>
      </c>
      <c r="K285">
        <v>0.1515</v>
      </c>
      <c r="L285">
        <v>0.8</v>
      </c>
      <c r="M285">
        <v>0.1343</v>
      </c>
      <c r="N285">
        <v>0</v>
      </c>
      <c r="O285">
        <v>3</v>
      </c>
      <c r="P285">
        <v>3</v>
      </c>
    </row>
    <row r="286" spans="1:16" x14ac:dyDescent="0.3">
      <c r="A286">
        <v>904</v>
      </c>
      <c r="B286" s="1">
        <v>40584</v>
      </c>
      <c r="C286">
        <v>1</v>
      </c>
      <c r="D286">
        <v>0</v>
      </c>
      <c r="E286">
        <v>2</v>
      </c>
      <c r="F286">
        <v>4</v>
      </c>
      <c r="G286" t="b">
        <v>0</v>
      </c>
      <c r="H286">
        <v>4</v>
      </c>
      <c r="I286">
        <v>2</v>
      </c>
      <c r="J286">
        <v>0.14000000000000001</v>
      </c>
      <c r="K286">
        <v>0.13639999999999999</v>
      </c>
      <c r="L286">
        <v>0.59</v>
      </c>
      <c r="M286">
        <v>0.22389999999999999</v>
      </c>
      <c r="N286">
        <v>0</v>
      </c>
      <c r="O286">
        <v>1</v>
      </c>
      <c r="P286">
        <v>1</v>
      </c>
    </row>
    <row r="287" spans="1:16" x14ac:dyDescent="0.3">
      <c r="A287">
        <v>905</v>
      </c>
      <c r="B287" s="1">
        <v>40584</v>
      </c>
      <c r="C287">
        <v>1</v>
      </c>
      <c r="D287">
        <v>0</v>
      </c>
      <c r="E287">
        <v>2</v>
      </c>
      <c r="F287">
        <v>5</v>
      </c>
      <c r="G287" t="b">
        <v>0</v>
      </c>
      <c r="H287">
        <v>4</v>
      </c>
      <c r="I287">
        <v>2</v>
      </c>
      <c r="J287">
        <v>0.12</v>
      </c>
      <c r="K287">
        <v>0.1212</v>
      </c>
      <c r="L287">
        <v>0.5</v>
      </c>
      <c r="M287">
        <v>0.22389999999999999</v>
      </c>
      <c r="N287">
        <v>0</v>
      </c>
      <c r="O287">
        <v>6</v>
      </c>
      <c r="P287">
        <v>6</v>
      </c>
    </row>
    <row r="288" spans="1:16" x14ac:dyDescent="0.3">
      <c r="A288">
        <v>906</v>
      </c>
      <c r="B288" s="1">
        <v>40584</v>
      </c>
      <c r="C288">
        <v>1</v>
      </c>
      <c r="D288">
        <v>0</v>
      </c>
      <c r="E288">
        <v>2</v>
      </c>
      <c r="F288">
        <v>6</v>
      </c>
      <c r="G288" t="b">
        <v>0</v>
      </c>
      <c r="H288">
        <v>4</v>
      </c>
      <c r="I288">
        <v>2</v>
      </c>
      <c r="J288">
        <v>0.12</v>
      </c>
      <c r="K288">
        <v>0.1212</v>
      </c>
      <c r="L288">
        <v>0.54</v>
      </c>
      <c r="M288">
        <v>0.28360000000000002</v>
      </c>
      <c r="N288">
        <v>0</v>
      </c>
      <c r="O288">
        <v>26</v>
      </c>
      <c r="P288">
        <v>26</v>
      </c>
    </row>
    <row r="289" spans="1:16" x14ac:dyDescent="0.3">
      <c r="A289">
        <v>907</v>
      </c>
      <c r="B289" s="1">
        <v>40584</v>
      </c>
      <c r="C289">
        <v>1</v>
      </c>
      <c r="D289">
        <v>0</v>
      </c>
      <c r="E289">
        <v>2</v>
      </c>
      <c r="F289">
        <v>7</v>
      </c>
      <c r="G289" t="b">
        <v>0</v>
      </c>
      <c r="H289">
        <v>4</v>
      </c>
      <c r="I289">
        <v>1</v>
      </c>
      <c r="J289">
        <v>0.1</v>
      </c>
      <c r="K289">
        <v>7.5800000000000006E-2</v>
      </c>
      <c r="L289">
        <v>0.5</v>
      </c>
      <c r="M289">
        <v>0.41789999999999999</v>
      </c>
      <c r="N289">
        <v>0</v>
      </c>
      <c r="O289">
        <v>99</v>
      </c>
      <c r="P289">
        <v>99</v>
      </c>
    </row>
    <row r="290" spans="1:16" x14ac:dyDescent="0.3">
      <c r="A290">
        <v>908</v>
      </c>
      <c r="B290" s="1">
        <v>40584</v>
      </c>
      <c r="C290">
        <v>1</v>
      </c>
      <c r="D290">
        <v>0</v>
      </c>
      <c r="E290">
        <v>2</v>
      </c>
      <c r="F290">
        <v>8</v>
      </c>
      <c r="G290" t="b">
        <v>0</v>
      </c>
      <c r="H290">
        <v>4</v>
      </c>
      <c r="I290">
        <v>1</v>
      </c>
      <c r="J290">
        <v>0.1</v>
      </c>
      <c r="K290">
        <v>7.5800000000000006E-2</v>
      </c>
      <c r="L290">
        <v>0.49</v>
      </c>
      <c r="M290">
        <v>0.32840000000000003</v>
      </c>
      <c r="N290">
        <v>5</v>
      </c>
      <c r="O290">
        <v>173</v>
      </c>
      <c r="P290">
        <v>178</v>
      </c>
    </row>
    <row r="291" spans="1:16" x14ac:dyDescent="0.3">
      <c r="A291">
        <v>909</v>
      </c>
      <c r="B291" s="1">
        <v>40584</v>
      </c>
      <c r="C291">
        <v>1</v>
      </c>
      <c r="D291">
        <v>0</v>
      </c>
      <c r="E291">
        <v>2</v>
      </c>
      <c r="F291">
        <v>9</v>
      </c>
      <c r="G291" t="b">
        <v>0</v>
      </c>
      <c r="H291">
        <v>4</v>
      </c>
      <c r="I291">
        <v>1</v>
      </c>
      <c r="J291">
        <v>0.12</v>
      </c>
      <c r="K291">
        <v>0.1061</v>
      </c>
      <c r="L291">
        <v>0.42</v>
      </c>
      <c r="M291">
        <v>0.35820000000000002</v>
      </c>
      <c r="N291">
        <v>1</v>
      </c>
      <c r="O291">
        <v>121</v>
      </c>
      <c r="P291">
        <v>122</v>
      </c>
    </row>
    <row r="292" spans="1:16" x14ac:dyDescent="0.3">
      <c r="A292">
        <v>910</v>
      </c>
      <c r="B292" s="1">
        <v>40584</v>
      </c>
      <c r="C292">
        <v>1</v>
      </c>
      <c r="D292">
        <v>0</v>
      </c>
      <c r="E292">
        <v>2</v>
      </c>
      <c r="F292">
        <v>10</v>
      </c>
      <c r="G292" t="b">
        <v>0</v>
      </c>
      <c r="H292">
        <v>4</v>
      </c>
      <c r="I292">
        <v>1</v>
      </c>
      <c r="J292">
        <v>0.12</v>
      </c>
      <c r="K292">
        <v>0.1061</v>
      </c>
      <c r="L292">
        <v>0.42</v>
      </c>
      <c r="M292">
        <v>0.29849999999999999</v>
      </c>
      <c r="N292">
        <v>1</v>
      </c>
      <c r="O292">
        <v>34</v>
      </c>
      <c r="P292">
        <v>35</v>
      </c>
    </row>
    <row r="293" spans="1:16" x14ac:dyDescent="0.3">
      <c r="A293">
        <v>911</v>
      </c>
      <c r="B293" s="1">
        <v>40584</v>
      </c>
      <c r="C293">
        <v>1</v>
      </c>
      <c r="D293">
        <v>0</v>
      </c>
      <c r="E293">
        <v>2</v>
      </c>
      <c r="F293">
        <v>11</v>
      </c>
      <c r="G293" t="b">
        <v>0</v>
      </c>
      <c r="H293">
        <v>4</v>
      </c>
      <c r="I293">
        <v>1</v>
      </c>
      <c r="J293">
        <v>0.14000000000000001</v>
      </c>
      <c r="K293">
        <v>0.1212</v>
      </c>
      <c r="L293">
        <v>0.39</v>
      </c>
      <c r="M293">
        <v>0.35820000000000002</v>
      </c>
      <c r="N293">
        <v>1</v>
      </c>
      <c r="O293">
        <v>44</v>
      </c>
      <c r="P293">
        <v>45</v>
      </c>
    </row>
    <row r="294" spans="1:16" x14ac:dyDescent="0.3">
      <c r="A294">
        <v>912</v>
      </c>
      <c r="B294" s="1">
        <v>40584</v>
      </c>
      <c r="C294">
        <v>1</v>
      </c>
      <c r="D294">
        <v>0</v>
      </c>
      <c r="E294">
        <v>2</v>
      </c>
      <c r="F294">
        <v>12</v>
      </c>
      <c r="G294" t="b">
        <v>0</v>
      </c>
      <c r="H294">
        <v>4</v>
      </c>
      <c r="I294">
        <v>1</v>
      </c>
      <c r="J294">
        <v>0.16</v>
      </c>
      <c r="K294">
        <v>0.13639999999999999</v>
      </c>
      <c r="L294">
        <v>0.34</v>
      </c>
      <c r="M294">
        <v>0.3881</v>
      </c>
      <c r="N294">
        <v>4</v>
      </c>
      <c r="O294">
        <v>65</v>
      </c>
      <c r="P294">
        <v>69</v>
      </c>
    </row>
    <row r="295" spans="1:16" x14ac:dyDescent="0.3">
      <c r="A295">
        <v>913</v>
      </c>
      <c r="B295" s="1">
        <v>40584</v>
      </c>
      <c r="C295">
        <v>1</v>
      </c>
      <c r="D295">
        <v>0</v>
      </c>
      <c r="E295">
        <v>2</v>
      </c>
      <c r="F295">
        <v>13</v>
      </c>
      <c r="G295" t="b">
        <v>0</v>
      </c>
      <c r="H295">
        <v>4</v>
      </c>
      <c r="I295">
        <v>1</v>
      </c>
      <c r="J295">
        <v>0.18</v>
      </c>
      <c r="K295">
        <v>0.16669999999999999</v>
      </c>
      <c r="L295">
        <v>0.28999999999999998</v>
      </c>
      <c r="M295">
        <v>0.29849999999999999</v>
      </c>
      <c r="N295">
        <v>3</v>
      </c>
      <c r="O295">
        <v>59</v>
      </c>
      <c r="P295">
        <v>62</v>
      </c>
    </row>
    <row r="296" spans="1:16" x14ac:dyDescent="0.3">
      <c r="A296">
        <v>914</v>
      </c>
      <c r="B296" s="1">
        <v>40584</v>
      </c>
      <c r="C296">
        <v>1</v>
      </c>
      <c r="D296">
        <v>0</v>
      </c>
      <c r="E296">
        <v>2</v>
      </c>
      <c r="F296">
        <v>14</v>
      </c>
      <c r="G296" t="b">
        <v>0</v>
      </c>
      <c r="H296">
        <v>4</v>
      </c>
      <c r="I296">
        <v>1</v>
      </c>
      <c r="J296">
        <v>0.2</v>
      </c>
      <c r="K296">
        <v>0.18179999999999999</v>
      </c>
      <c r="L296">
        <v>0.27</v>
      </c>
      <c r="M296">
        <v>0.28360000000000002</v>
      </c>
      <c r="N296">
        <v>6</v>
      </c>
      <c r="O296">
        <v>42</v>
      </c>
      <c r="P296">
        <v>48</v>
      </c>
    </row>
    <row r="297" spans="1:16" x14ac:dyDescent="0.3">
      <c r="A297">
        <v>915</v>
      </c>
      <c r="B297" s="1">
        <v>40584</v>
      </c>
      <c r="C297">
        <v>1</v>
      </c>
      <c r="D297">
        <v>0</v>
      </c>
      <c r="E297">
        <v>2</v>
      </c>
      <c r="F297">
        <v>15</v>
      </c>
      <c r="G297" t="b">
        <v>0</v>
      </c>
      <c r="H297">
        <v>4</v>
      </c>
      <c r="I297">
        <v>1</v>
      </c>
      <c r="J297">
        <v>0.2</v>
      </c>
      <c r="K297">
        <v>0.19700000000000001</v>
      </c>
      <c r="L297">
        <v>0.25</v>
      </c>
      <c r="M297">
        <v>0.25369999999999998</v>
      </c>
      <c r="N297">
        <v>0</v>
      </c>
      <c r="O297">
        <v>50</v>
      </c>
      <c r="P297">
        <v>50</v>
      </c>
    </row>
    <row r="298" spans="1:16" x14ac:dyDescent="0.3">
      <c r="A298">
        <v>916</v>
      </c>
      <c r="B298" s="1">
        <v>40584</v>
      </c>
      <c r="C298">
        <v>1</v>
      </c>
      <c r="D298">
        <v>0</v>
      </c>
      <c r="E298">
        <v>2</v>
      </c>
      <c r="F298">
        <v>16</v>
      </c>
      <c r="G298" t="b">
        <v>0</v>
      </c>
      <c r="H298">
        <v>4</v>
      </c>
      <c r="I298">
        <v>1</v>
      </c>
      <c r="J298">
        <v>0.2</v>
      </c>
      <c r="K298">
        <v>0.18179999999999999</v>
      </c>
      <c r="L298">
        <v>0.27</v>
      </c>
      <c r="M298">
        <v>0.29849999999999999</v>
      </c>
      <c r="N298">
        <v>4</v>
      </c>
      <c r="O298">
        <v>76</v>
      </c>
      <c r="P298">
        <v>80</v>
      </c>
    </row>
    <row r="299" spans="1:16" x14ac:dyDescent="0.3">
      <c r="A299">
        <v>917</v>
      </c>
      <c r="B299" s="1">
        <v>40584</v>
      </c>
      <c r="C299">
        <v>1</v>
      </c>
      <c r="D299">
        <v>0</v>
      </c>
      <c r="E299">
        <v>2</v>
      </c>
      <c r="F299">
        <v>17</v>
      </c>
      <c r="G299" t="b">
        <v>0</v>
      </c>
      <c r="H299">
        <v>4</v>
      </c>
      <c r="I299">
        <v>1</v>
      </c>
      <c r="J299">
        <v>0.18</v>
      </c>
      <c r="K299">
        <v>0.18179999999999999</v>
      </c>
      <c r="L299">
        <v>0.26</v>
      </c>
      <c r="M299">
        <v>0.19400000000000001</v>
      </c>
      <c r="N299">
        <v>6</v>
      </c>
      <c r="O299">
        <v>159</v>
      </c>
      <c r="P299">
        <v>165</v>
      </c>
    </row>
    <row r="300" spans="1:16" x14ac:dyDescent="0.3">
      <c r="A300">
        <v>918</v>
      </c>
      <c r="B300" s="1">
        <v>40584</v>
      </c>
      <c r="C300">
        <v>1</v>
      </c>
      <c r="D300">
        <v>0</v>
      </c>
      <c r="E300">
        <v>2</v>
      </c>
      <c r="F300">
        <v>18</v>
      </c>
      <c r="G300" t="b">
        <v>0</v>
      </c>
      <c r="H300">
        <v>4</v>
      </c>
      <c r="I300">
        <v>1</v>
      </c>
      <c r="J300">
        <v>0.16</v>
      </c>
      <c r="K300">
        <v>0.18179999999999999</v>
      </c>
      <c r="L300">
        <v>0.28000000000000003</v>
      </c>
      <c r="M300">
        <v>0.1343</v>
      </c>
      <c r="N300">
        <v>3</v>
      </c>
      <c r="O300">
        <v>157</v>
      </c>
      <c r="P300">
        <v>160</v>
      </c>
    </row>
    <row r="301" spans="1:16" x14ac:dyDescent="0.3">
      <c r="A301">
        <v>919</v>
      </c>
      <c r="B301" s="1">
        <v>40584</v>
      </c>
      <c r="C301">
        <v>1</v>
      </c>
      <c r="D301">
        <v>0</v>
      </c>
      <c r="E301">
        <v>2</v>
      </c>
      <c r="F301">
        <v>19</v>
      </c>
      <c r="G301" t="b">
        <v>0</v>
      </c>
      <c r="H301">
        <v>4</v>
      </c>
      <c r="I301">
        <v>1</v>
      </c>
      <c r="J301">
        <v>0.14000000000000001</v>
      </c>
      <c r="K301">
        <v>0.16669999999999999</v>
      </c>
      <c r="L301">
        <v>0.28000000000000003</v>
      </c>
      <c r="M301">
        <v>0.1045</v>
      </c>
      <c r="N301">
        <v>2</v>
      </c>
      <c r="O301">
        <v>110</v>
      </c>
      <c r="P301">
        <v>112</v>
      </c>
    </row>
    <row r="302" spans="1:16" x14ac:dyDescent="0.3">
      <c r="A302">
        <v>920</v>
      </c>
      <c r="B302" s="1">
        <v>40584</v>
      </c>
      <c r="C302">
        <v>1</v>
      </c>
      <c r="D302">
        <v>0</v>
      </c>
      <c r="E302">
        <v>2</v>
      </c>
      <c r="F302">
        <v>20</v>
      </c>
      <c r="G302" t="b">
        <v>0</v>
      </c>
      <c r="H302">
        <v>4</v>
      </c>
      <c r="I302">
        <v>1</v>
      </c>
      <c r="J302">
        <v>0.14000000000000001</v>
      </c>
      <c r="K302">
        <v>0.18179999999999999</v>
      </c>
      <c r="L302">
        <v>0.31</v>
      </c>
      <c r="M302">
        <v>8.9599999999999999E-2</v>
      </c>
      <c r="N302">
        <v>4</v>
      </c>
      <c r="O302">
        <v>93</v>
      </c>
      <c r="P302">
        <v>97</v>
      </c>
    </row>
    <row r="303" spans="1:16" x14ac:dyDescent="0.3">
      <c r="A303">
        <v>921</v>
      </c>
      <c r="B303" s="1">
        <v>40584</v>
      </c>
      <c r="C303">
        <v>1</v>
      </c>
      <c r="D303">
        <v>0</v>
      </c>
      <c r="E303">
        <v>2</v>
      </c>
      <c r="F303">
        <v>21</v>
      </c>
      <c r="G303" t="b">
        <v>0</v>
      </c>
      <c r="H303">
        <v>4</v>
      </c>
      <c r="I303">
        <v>1</v>
      </c>
      <c r="J303">
        <v>0.14000000000000001</v>
      </c>
      <c r="K303">
        <v>0.21210000000000001</v>
      </c>
      <c r="L303">
        <v>0.39</v>
      </c>
      <c r="M303">
        <v>0</v>
      </c>
      <c r="N303">
        <v>2</v>
      </c>
      <c r="O303">
        <v>70</v>
      </c>
      <c r="P303">
        <v>72</v>
      </c>
    </row>
    <row r="304" spans="1:16" x14ac:dyDescent="0.3">
      <c r="A304">
        <v>922</v>
      </c>
      <c r="B304" s="1">
        <v>40584</v>
      </c>
      <c r="C304">
        <v>1</v>
      </c>
      <c r="D304">
        <v>0</v>
      </c>
      <c r="E304">
        <v>2</v>
      </c>
      <c r="F304">
        <v>22</v>
      </c>
      <c r="G304" t="b">
        <v>0</v>
      </c>
      <c r="H304">
        <v>4</v>
      </c>
      <c r="I304">
        <v>1</v>
      </c>
      <c r="J304">
        <v>0.12</v>
      </c>
      <c r="K304">
        <v>0.19700000000000001</v>
      </c>
      <c r="L304">
        <v>0.39</v>
      </c>
      <c r="M304">
        <v>0</v>
      </c>
      <c r="N304">
        <v>4</v>
      </c>
      <c r="O304">
        <v>47</v>
      </c>
      <c r="P304">
        <v>51</v>
      </c>
    </row>
    <row r="305" spans="1:16" x14ac:dyDescent="0.3">
      <c r="A305">
        <v>923</v>
      </c>
      <c r="B305" s="1">
        <v>40584</v>
      </c>
      <c r="C305">
        <v>1</v>
      </c>
      <c r="D305">
        <v>0</v>
      </c>
      <c r="E305">
        <v>2</v>
      </c>
      <c r="F305">
        <v>23</v>
      </c>
      <c r="G305" t="b">
        <v>0</v>
      </c>
      <c r="H305">
        <v>4</v>
      </c>
      <c r="I305">
        <v>1</v>
      </c>
      <c r="J305">
        <v>0.12</v>
      </c>
      <c r="K305">
        <v>0.1515</v>
      </c>
      <c r="L305">
        <v>0.42</v>
      </c>
      <c r="M305">
        <v>0.1045</v>
      </c>
      <c r="N305">
        <v>1</v>
      </c>
      <c r="O305">
        <v>33</v>
      </c>
      <c r="P305">
        <v>34</v>
      </c>
    </row>
    <row r="306" spans="1:16" x14ac:dyDescent="0.3">
      <c r="A306">
        <v>924</v>
      </c>
      <c r="B306" s="1">
        <v>40585</v>
      </c>
      <c r="C306">
        <v>1</v>
      </c>
      <c r="D306">
        <v>0</v>
      </c>
      <c r="E306">
        <v>2</v>
      </c>
      <c r="F306">
        <v>0</v>
      </c>
      <c r="G306" t="b">
        <v>0</v>
      </c>
      <c r="H306">
        <v>5</v>
      </c>
      <c r="I306">
        <v>1</v>
      </c>
      <c r="J306">
        <v>0.1</v>
      </c>
      <c r="K306">
        <v>0.13639999999999999</v>
      </c>
      <c r="L306">
        <v>0.49</v>
      </c>
      <c r="M306">
        <v>0.1045</v>
      </c>
      <c r="N306">
        <v>2</v>
      </c>
      <c r="O306">
        <v>12</v>
      </c>
      <c r="P306">
        <v>14</v>
      </c>
    </row>
    <row r="307" spans="1:16" x14ac:dyDescent="0.3">
      <c r="A307">
        <v>925</v>
      </c>
      <c r="B307" s="1">
        <v>40585</v>
      </c>
      <c r="C307">
        <v>1</v>
      </c>
      <c r="D307">
        <v>0</v>
      </c>
      <c r="E307">
        <v>2</v>
      </c>
      <c r="F307">
        <v>1</v>
      </c>
      <c r="G307" t="b">
        <v>0</v>
      </c>
      <c r="H307">
        <v>5</v>
      </c>
      <c r="I307">
        <v>1</v>
      </c>
      <c r="J307">
        <v>0.1</v>
      </c>
      <c r="K307">
        <v>0.13639999999999999</v>
      </c>
      <c r="L307">
        <v>0.54</v>
      </c>
      <c r="M307">
        <v>8.9599999999999999E-2</v>
      </c>
      <c r="N307">
        <v>1</v>
      </c>
      <c r="O307">
        <v>6</v>
      </c>
      <c r="P307">
        <v>7</v>
      </c>
    </row>
    <row r="308" spans="1:16" x14ac:dyDescent="0.3">
      <c r="A308">
        <v>926</v>
      </c>
      <c r="B308" s="1">
        <v>40585</v>
      </c>
      <c r="C308">
        <v>1</v>
      </c>
      <c r="D308">
        <v>0</v>
      </c>
      <c r="E308">
        <v>2</v>
      </c>
      <c r="F308">
        <v>2</v>
      </c>
      <c r="G308" t="b">
        <v>0</v>
      </c>
      <c r="H308">
        <v>5</v>
      </c>
      <c r="I308">
        <v>1</v>
      </c>
      <c r="J308">
        <v>0.1</v>
      </c>
      <c r="K308">
        <v>0.13639999999999999</v>
      </c>
      <c r="L308">
        <v>0.54</v>
      </c>
      <c r="M308">
        <v>8.9599999999999999E-2</v>
      </c>
      <c r="N308">
        <v>0</v>
      </c>
      <c r="O308">
        <v>3</v>
      </c>
      <c r="P308">
        <v>3</v>
      </c>
    </row>
    <row r="309" spans="1:16" x14ac:dyDescent="0.3">
      <c r="A309">
        <v>927</v>
      </c>
      <c r="B309" s="1">
        <v>40585</v>
      </c>
      <c r="C309">
        <v>1</v>
      </c>
      <c r="D309">
        <v>0</v>
      </c>
      <c r="E309">
        <v>2</v>
      </c>
      <c r="F309">
        <v>5</v>
      </c>
      <c r="G309" t="b">
        <v>0</v>
      </c>
      <c r="H309">
        <v>5</v>
      </c>
      <c r="I309">
        <v>1</v>
      </c>
      <c r="J309">
        <v>0.08</v>
      </c>
      <c r="K309">
        <v>0.1212</v>
      </c>
      <c r="L309">
        <v>0.63</v>
      </c>
      <c r="M309">
        <v>8.9599999999999999E-2</v>
      </c>
      <c r="N309">
        <v>0</v>
      </c>
      <c r="O309">
        <v>4</v>
      </c>
      <c r="P309">
        <v>4</v>
      </c>
    </row>
    <row r="310" spans="1:16" x14ac:dyDescent="0.3">
      <c r="A310">
        <v>928</v>
      </c>
      <c r="B310" s="1">
        <v>40585</v>
      </c>
      <c r="C310">
        <v>1</v>
      </c>
      <c r="D310">
        <v>0</v>
      </c>
      <c r="E310">
        <v>2</v>
      </c>
      <c r="F310">
        <v>6</v>
      </c>
      <c r="G310" t="b">
        <v>0</v>
      </c>
      <c r="H310">
        <v>5</v>
      </c>
      <c r="I310">
        <v>1</v>
      </c>
      <c r="J310">
        <v>0.1</v>
      </c>
      <c r="K310">
        <v>0.18179999999999999</v>
      </c>
      <c r="L310">
        <v>0.68</v>
      </c>
      <c r="M310">
        <v>0</v>
      </c>
      <c r="N310">
        <v>1</v>
      </c>
      <c r="O310">
        <v>23</v>
      </c>
      <c r="P310">
        <v>24</v>
      </c>
    </row>
    <row r="311" spans="1:16" x14ac:dyDescent="0.3">
      <c r="A311">
        <v>929</v>
      </c>
      <c r="B311" s="1">
        <v>40585</v>
      </c>
      <c r="C311">
        <v>1</v>
      </c>
      <c r="D311">
        <v>0</v>
      </c>
      <c r="E311">
        <v>2</v>
      </c>
      <c r="F311">
        <v>7</v>
      </c>
      <c r="G311" t="b">
        <v>0</v>
      </c>
      <c r="H311">
        <v>5</v>
      </c>
      <c r="I311">
        <v>1</v>
      </c>
      <c r="J311">
        <v>0.08</v>
      </c>
      <c r="K311">
        <v>0.16669999999999999</v>
      </c>
      <c r="L311">
        <v>0.73</v>
      </c>
      <c r="M311">
        <v>0</v>
      </c>
      <c r="N311">
        <v>1</v>
      </c>
      <c r="O311">
        <v>73</v>
      </c>
      <c r="P311">
        <v>74</v>
      </c>
    </row>
    <row r="312" spans="1:16" x14ac:dyDescent="0.3">
      <c r="A312">
        <v>930</v>
      </c>
      <c r="B312" s="1">
        <v>40585</v>
      </c>
      <c r="C312">
        <v>1</v>
      </c>
      <c r="D312">
        <v>0</v>
      </c>
      <c r="E312">
        <v>2</v>
      </c>
      <c r="F312">
        <v>8</v>
      </c>
      <c r="G312" t="b">
        <v>0</v>
      </c>
      <c r="H312">
        <v>5</v>
      </c>
      <c r="I312">
        <v>1</v>
      </c>
      <c r="J312">
        <v>0.1</v>
      </c>
      <c r="K312">
        <v>0.1212</v>
      </c>
      <c r="L312">
        <v>0.74</v>
      </c>
      <c r="M312">
        <v>0.16420000000000001</v>
      </c>
      <c r="N312">
        <v>4</v>
      </c>
      <c r="O312">
        <v>212</v>
      </c>
      <c r="P312">
        <v>216</v>
      </c>
    </row>
    <row r="313" spans="1:16" x14ac:dyDescent="0.3">
      <c r="A313">
        <v>931</v>
      </c>
      <c r="B313" s="1">
        <v>40585</v>
      </c>
      <c r="C313">
        <v>1</v>
      </c>
      <c r="D313">
        <v>0</v>
      </c>
      <c r="E313">
        <v>2</v>
      </c>
      <c r="F313">
        <v>9</v>
      </c>
      <c r="G313" t="b">
        <v>0</v>
      </c>
      <c r="H313">
        <v>5</v>
      </c>
      <c r="I313">
        <v>1</v>
      </c>
      <c r="J313">
        <v>0.12</v>
      </c>
      <c r="K313">
        <v>0.1212</v>
      </c>
      <c r="L313">
        <v>0.74</v>
      </c>
      <c r="M313">
        <v>0.22389999999999999</v>
      </c>
      <c r="N313">
        <v>8</v>
      </c>
      <c r="O313">
        <v>132</v>
      </c>
      <c r="P313">
        <v>140</v>
      </c>
    </row>
    <row r="314" spans="1:16" x14ac:dyDescent="0.3">
      <c r="A314">
        <v>932</v>
      </c>
      <c r="B314" s="1">
        <v>40585</v>
      </c>
      <c r="C314">
        <v>1</v>
      </c>
      <c r="D314">
        <v>0</v>
      </c>
      <c r="E314">
        <v>2</v>
      </c>
      <c r="F314">
        <v>10</v>
      </c>
      <c r="G314" t="b">
        <v>0</v>
      </c>
      <c r="H314">
        <v>5</v>
      </c>
      <c r="I314">
        <v>1</v>
      </c>
      <c r="J314">
        <v>0.14000000000000001</v>
      </c>
      <c r="K314">
        <v>0.13639999999999999</v>
      </c>
      <c r="L314">
        <v>0.69</v>
      </c>
      <c r="M314">
        <v>0.19400000000000001</v>
      </c>
      <c r="N314">
        <v>5</v>
      </c>
      <c r="O314">
        <v>39</v>
      </c>
      <c r="P314">
        <v>44</v>
      </c>
    </row>
    <row r="315" spans="1:16" x14ac:dyDescent="0.3">
      <c r="A315">
        <v>933</v>
      </c>
      <c r="B315" s="1">
        <v>40585</v>
      </c>
      <c r="C315">
        <v>1</v>
      </c>
      <c r="D315">
        <v>0</v>
      </c>
      <c r="E315">
        <v>2</v>
      </c>
      <c r="F315">
        <v>11</v>
      </c>
      <c r="G315" t="b">
        <v>0</v>
      </c>
      <c r="H315">
        <v>5</v>
      </c>
      <c r="I315">
        <v>1</v>
      </c>
      <c r="J315">
        <v>0.22</v>
      </c>
      <c r="K315">
        <v>0.2273</v>
      </c>
      <c r="L315">
        <v>0.47</v>
      </c>
      <c r="M315">
        <v>0.1343</v>
      </c>
      <c r="N315">
        <v>12</v>
      </c>
      <c r="O315">
        <v>52</v>
      </c>
      <c r="P315">
        <v>64</v>
      </c>
    </row>
    <row r="316" spans="1:16" x14ac:dyDescent="0.3">
      <c r="A316">
        <v>934</v>
      </c>
      <c r="B316" s="1">
        <v>40585</v>
      </c>
      <c r="C316">
        <v>1</v>
      </c>
      <c r="D316">
        <v>0</v>
      </c>
      <c r="E316">
        <v>2</v>
      </c>
      <c r="F316">
        <v>12</v>
      </c>
      <c r="G316" t="b">
        <v>0</v>
      </c>
      <c r="H316">
        <v>5</v>
      </c>
      <c r="I316">
        <v>1</v>
      </c>
      <c r="J316">
        <v>0.22</v>
      </c>
      <c r="K316">
        <v>0.2273</v>
      </c>
      <c r="L316">
        <v>0.47</v>
      </c>
      <c r="M316">
        <v>0.1343</v>
      </c>
      <c r="N316">
        <v>7</v>
      </c>
      <c r="O316">
        <v>64</v>
      </c>
      <c r="P316">
        <v>71</v>
      </c>
    </row>
    <row r="317" spans="1:16" x14ac:dyDescent="0.3">
      <c r="A317">
        <v>935</v>
      </c>
      <c r="B317" s="1">
        <v>40585</v>
      </c>
      <c r="C317">
        <v>1</v>
      </c>
      <c r="D317">
        <v>0</v>
      </c>
      <c r="E317">
        <v>2</v>
      </c>
      <c r="F317">
        <v>13</v>
      </c>
      <c r="G317" t="b">
        <v>0</v>
      </c>
      <c r="H317">
        <v>5</v>
      </c>
      <c r="I317">
        <v>1</v>
      </c>
      <c r="J317">
        <v>0.24</v>
      </c>
      <c r="K317">
        <v>0.2273</v>
      </c>
      <c r="L317">
        <v>0.35</v>
      </c>
      <c r="M317">
        <v>0.19400000000000001</v>
      </c>
      <c r="N317">
        <v>21</v>
      </c>
      <c r="O317">
        <v>89</v>
      </c>
      <c r="P317">
        <v>110</v>
      </c>
    </row>
    <row r="318" spans="1:16" x14ac:dyDescent="0.3">
      <c r="A318">
        <v>936</v>
      </c>
      <c r="B318" s="1">
        <v>40585</v>
      </c>
      <c r="C318">
        <v>1</v>
      </c>
      <c r="D318">
        <v>0</v>
      </c>
      <c r="E318">
        <v>2</v>
      </c>
      <c r="F318">
        <v>14</v>
      </c>
      <c r="G318" t="b">
        <v>0</v>
      </c>
      <c r="H318">
        <v>5</v>
      </c>
      <c r="I318">
        <v>1</v>
      </c>
      <c r="J318">
        <v>0.3</v>
      </c>
      <c r="K318">
        <v>0.28789999999999999</v>
      </c>
      <c r="L318">
        <v>0.26</v>
      </c>
      <c r="M318">
        <v>0.25369999999999998</v>
      </c>
      <c r="N318">
        <v>17</v>
      </c>
      <c r="O318">
        <v>67</v>
      </c>
      <c r="P318">
        <v>84</v>
      </c>
    </row>
    <row r="319" spans="1:16" x14ac:dyDescent="0.3">
      <c r="A319">
        <v>937</v>
      </c>
      <c r="B319" s="1">
        <v>40585</v>
      </c>
      <c r="C319">
        <v>1</v>
      </c>
      <c r="D319">
        <v>0</v>
      </c>
      <c r="E319">
        <v>2</v>
      </c>
      <c r="F319">
        <v>15</v>
      </c>
      <c r="G319" t="b">
        <v>0</v>
      </c>
      <c r="H319">
        <v>5</v>
      </c>
      <c r="I319">
        <v>1</v>
      </c>
      <c r="J319">
        <v>0.32</v>
      </c>
      <c r="K319">
        <v>0.31819999999999998</v>
      </c>
      <c r="L319">
        <v>0.21</v>
      </c>
      <c r="M319">
        <v>0.16420000000000001</v>
      </c>
      <c r="N319">
        <v>12</v>
      </c>
      <c r="O319">
        <v>62</v>
      </c>
      <c r="P319">
        <v>74</v>
      </c>
    </row>
    <row r="320" spans="1:16" x14ac:dyDescent="0.3">
      <c r="A320">
        <v>938</v>
      </c>
      <c r="B320" s="1">
        <v>40585</v>
      </c>
      <c r="C320">
        <v>1</v>
      </c>
      <c r="D320">
        <v>0</v>
      </c>
      <c r="E320">
        <v>2</v>
      </c>
      <c r="F320">
        <v>16</v>
      </c>
      <c r="G320" t="b">
        <v>0</v>
      </c>
      <c r="H320">
        <v>5</v>
      </c>
      <c r="I320">
        <v>1</v>
      </c>
      <c r="J320">
        <v>0.3</v>
      </c>
      <c r="K320">
        <v>0.28789999999999999</v>
      </c>
      <c r="L320">
        <v>0.28000000000000003</v>
      </c>
      <c r="M320">
        <v>0.19400000000000001</v>
      </c>
      <c r="N320">
        <v>14</v>
      </c>
      <c r="O320">
        <v>111</v>
      </c>
      <c r="P320">
        <v>125</v>
      </c>
    </row>
    <row r="321" spans="1:16" x14ac:dyDescent="0.3">
      <c r="A321">
        <v>939</v>
      </c>
      <c r="B321" s="1">
        <v>40585</v>
      </c>
      <c r="C321">
        <v>1</v>
      </c>
      <c r="D321">
        <v>0</v>
      </c>
      <c r="E321">
        <v>2</v>
      </c>
      <c r="F321">
        <v>17</v>
      </c>
      <c r="G321" t="b">
        <v>0</v>
      </c>
      <c r="H321">
        <v>5</v>
      </c>
      <c r="I321">
        <v>1</v>
      </c>
      <c r="J321">
        <v>0.3</v>
      </c>
      <c r="K321">
        <v>0.33329999999999999</v>
      </c>
      <c r="L321">
        <v>0.24</v>
      </c>
      <c r="M321">
        <v>0</v>
      </c>
      <c r="N321">
        <v>18</v>
      </c>
      <c r="O321">
        <v>193</v>
      </c>
      <c r="P321">
        <v>211</v>
      </c>
    </row>
    <row r="322" spans="1:16" x14ac:dyDescent="0.3">
      <c r="A322">
        <v>940</v>
      </c>
      <c r="B322" s="1">
        <v>40585</v>
      </c>
      <c r="C322">
        <v>1</v>
      </c>
      <c r="D322">
        <v>0</v>
      </c>
      <c r="E322">
        <v>2</v>
      </c>
      <c r="F322">
        <v>18</v>
      </c>
      <c r="G322" t="b">
        <v>0</v>
      </c>
      <c r="H322">
        <v>5</v>
      </c>
      <c r="I322">
        <v>1</v>
      </c>
      <c r="J322">
        <v>0.28000000000000003</v>
      </c>
      <c r="K322">
        <v>0.31819999999999998</v>
      </c>
      <c r="L322">
        <v>0.28000000000000003</v>
      </c>
      <c r="M322">
        <v>0</v>
      </c>
      <c r="N322">
        <v>9</v>
      </c>
      <c r="O322">
        <v>165</v>
      </c>
      <c r="P322">
        <v>174</v>
      </c>
    </row>
    <row r="323" spans="1:16" x14ac:dyDescent="0.3">
      <c r="A323">
        <v>941</v>
      </c>
      <c r="B323" s="1">
        <v>40585</v>
      </c>
      <c r="C323">
        <v>1</v>
      </c>
      <c r="D323">
        <v>0</v>
      </c>
      <c r="E323">
        <v>2</v>
      </c>
      <c r="F323">
        <v>19</v>
      </c>
      <c r="G323" t="b">
        <v>0</v>
      </c>
      <c r="H323">
        <v>5</v>
      </c>
      <c r="I323">
        <v>1</v>
      </c>
      <c r="J323">
        <v>0.26</v>
      </c>
      <c r="K323">
        <v>0.30299999999999999</v>
      </c>
      <c r="L323">
        <v>0.33</v>
      </c>
      <c r="M323">
        <v>0</v>
      </c>
      <c r="N323">
        <v>7</v>
      </c>
      <c r="O323">
        <v>94</v>
      </c>
      <c r="P323">
        <v>101</v>
      </c>
    </row>
    <row r="324" spans="1:16" x14ac:dyDescent="0.3">
      <c r="A324">
        <v>942</v>
      </c>
      <c r="B324" s="1">
        <v>40585</v>
      </c>
      <c r="C324">
        <v>1</v>
      </c>
      <c r="D324">
        <v>0</v>
      </c>
      <c r="E324">
        <v>2</v>
      </c>
      <c r="F324">
        <v>20</v>
      </c>
      <c r="G324" t="b">
        <v>0</v>
      </c>
      <c r="H324">
        <v>5</v>
      </c>
      <c r="I324">
        <v>1</v>
      </c>
      <c r="J324">
        <v>0.22</v>
      </c>
      <c r="K324">
        <v>0.2273</v>
      </c>
      <c r="L324">
        <v>0.55000000000000004</v>
      </c>
      <c r="M324">
        <v>0.1343</v>
      </c>
      <c r="N324">
        <v>2</v>
      </c>
      <c r="O324">
        <v>61</v>
      </c>
      <c r="P324">
        <v>63</v>
      </c>
    </row>
    <row r="325" spans="1:16" x14ac:dyDescent="0.3">
      <c r="A325">
        <v>943</v>
      </c>
      <c r="B325" s="1">
        <v>40585</v>
      </c>
      <c r="C325">
        <v>1</v>
      </c>
      <c r="D325">
        <v>0</v>
      </c>
      <c r="E325">
        <v>2</v>
      </c>
      <c r="F325">
        <v>21</v>
      </c>
      <c r="G325" t="b">
        <v>0</v>
      </c>
      <c r="H325">
        <v>5</v>
      </c>
      <c r="I325">
        <v>1</v>
      </c>
      <c r="J325">
        <v>0.2</v>
      </c>
      <c r="K325">
        <v>0.21210000000000001</v>
      </c>
      <c r="L325">
        <v>0.59</v>
      </c>
      <c r="M325">
        <v>0.1343</v>
      </c>
      <c r="N325">
        <v>1</v>
      </c>
      <c r="O325">
        <v>46</v>
      </c>
      <c r="P325">
        <v>47</v>
      </c>
    </row>
    <row r="326" spans="1:16" x14ac:dyDescent="0.3">
      <c r="A326">
        <v>944</v>
      </c>
      <c r="B326" s="1">
        <v>40585</v>
      </c>
      <c r="C326">
        <v>1</v>
      </c>
      <c r="D326">
        <v>0</v>
      </c>
      <c r="E326">
        <v>2</v>
      </c>
      <c r="F326">
        <v>22</v>
      </c>
      <c r="G326" t="b">
        <v>0</v>
      </c>
      <c r="H326">
        <v>5</v>
      </c>
      <c r="I326">
        <v>1</v>
      </c>
      <c r="J326">
        <v>0.2</v>
      </c>
      <c r="K326">
        <v>0.2273</v>
      </c>
      <c r="L326">
        <v>0.64</v>
      </c>
      <c r="M326">
        <v>8.9599999999999999E-2</v>
      </c>
      <c r="N326">
        <v>2</v>
      </c>
      <c r="O326">
        <v>41</v>
      </c>
      <c r="P326">
        <v>43</v>
      </c>
    </row>
    <row r="327" spans="1:16" x14ac:dyDescent="0.3">
      <c r="A327">
        <v>945</v>
      </c>
      <c r="B327" s="1">
        <v>40585</v>
      </c>
      <c r="C327">
        <v>1</v>
      </c>
      <c r="D327">
        <v>0</v>
      </c>
      <c r="E327">
        <v>2</v>
      </c>
      <c r="F327">
        <v>23</v>
      </c>
      <c r="G327" t="b">
        <v>0</v>
      </c>
      <c r="H327">
        <v>5</v>
      </c>
      <c r="I327">
        <v>1</v>
      </c>
      <c r="J327">
        <v>0.18</v>
      </c>
      <c r="K327">
        <v>0.2424</v>
      </c>
      <c r="L327">
        <v>0.69</v>
      </c>
      <c r="M327">
        <v>0</v>
      </c>
      <c r="N327">
        <v>5</v>
      </c>
      <c r="O327">
        <v>48</v>
      </c>
      <c r="P327">
        <v>53</v>
      </c>
    </row>
    <row r="328" spans="1:16" x14ac:dyDescent="0.3">
      <c r="A328">
        <v>946</v>
      </c>
      <c r="B328" s="1">
        <v>40586</v>
      </c>
      <c r="C328">
        <v>1</v>
      </c>
      <c r="D328">
        <v>0</v>
      </c>
      <c r="E328">
        <v>2</v>
      </c>
      <c r="F328">
        <v>0</v>
      </c>
      <c r="G328" t="b">
        <v>0</v>
      </c>
      <c r="H328">
        <v>6</v>
      </c>
      <c r="I328">
        <v>1</v>
      </c>
      <c r="J328">
        <v>0.16</v>
      </c>
      <c r="K328">
        <v>0.19700000000000001</v>
      </c>
      <c r="L328">
        <v>0.69</v>
      </c>
      <c r="M328">
        <v>8.9599999999999999E-2</v>
      </c>
      <c r="N328">
        <v>3</v>
      </c>
      <c r="O328">
        <v>27</v>
      </c>
      <c r="P328">
        <v>30</v>
      </c>
    </row>
    <row r="329" spans="1:16" x14ac:dyDescent="0.3">
      <c r="A329">
        <v>947</v>
      </c>
      <c r="B329" s="1">
        <v>40586</v>
      </c>
      <c r="C329">
        <v>1</v>
      </c>
      <c r="D329">
        <v>0</v>
      </c>
      <c r="E329">
        <v>2</v>
      </c>
      <c r="F329">
        <v>1</v>
      </c>
      <c r="G329" t="b">
        <v>0</v>
      </c>
      <c r="H329">
        <v>6</v>
      </c>
      <c r="I329">
        <v>1</v>
      </c>
      <c r="J329">
        <v>0.14000000000000001</v>
      </c>
      <c r="K329">
        <v>0.21210000000000001</v>
      </c>
      <c r="L329">
        <v>0.86</v>
      </c>
      <c r="M329">
        <v>0</v>
      </c>
      <c r="N329">
        <v>2</v>
      </c>
      <c r="O329">
        <v>22</v>
      </c>
      <c r="P329">
        <v>24</v>
      </c>
    </row>
    <row r="330" spans="1:16" x14ac:dyDescent="0.3">
      <c r="A330">
        <v>948</v>
      </c>
      <c r="B330" s="1">
        <v>40586</v>
      </c>
      <c r="C330">
        <v>1</v>
      </c>
      <c r="D330">
        <v>0</v>
      </c>
      <c r="E330">
        <v>2</v>
      </c>
      <c r="F330">
        <v>2</v>
      </c>
      <c r="G330" t="b">
        <v>0</v>
      </c>
      <c r="H330">
        <v>6</v>
      </c>
      <c r="I330">
        <v>1</v>
      </c>
      <c r="J330">
        <v>0.14000000000000001</v>
      </c>
      <c r="K330">
        <v>0.21210000000000001</v>
      </c>
      <c r="L330">
        <v>0.8</v>
      </c>
      <c r="M330">
        <v>0</v>
      </c>
      <c r="N330">
        <v>2</v>
      </c>
      <c r="O330">
        <v>13</v>
      </c>
      <c r="P330">
        <v>15</v>
      </c>
    </row>
    <row r="331" spans="1:16" x14ac:dyDescent="0.3">
      <c r="A331">
        <v>949</v>
      </c>
      <c r="B331" s="1">
        <v>40586</v>
      </c>
      <c r="C331">
        <v>1</v>
      </c>
      <c r="D331">
        <v>0</v>
      </c>
      <c r="E331">
        <v>2</v>
      </c>
      <c r="F331">
        <v>3</v>
      </c>
      <c r="G331" t="b">
        <v>0</v>
      </c>
      <c r="H331">
        <v>6</v>
      </c>
      <c r="I331">
        <v>1</v>
      </c>
      <c r="J331">
        <v>0.12</v>
      </c>
      <c r="K331">
        <v>0.19700000000000001</v>
      </c>
      <c r="L331">
        <v>0.8</v>
      </c>
      <c r="M331">
        <v>0</v>
      </c>
      <c r="N331">
        <v>3</v>
      </c>
      <c r="O331">
        <v>7</v>
      </c>
      <c r="P331">
        <v>10</v>
      </c>
    </row>
    <row r="332" spans="1:16" x14ac:dyDescent="0.3">
      <c r="A332">
        <v>950</v>
      </c>
      <c r="B332" s="1">
        <v>40586</v>
      </c>
      <c r="C332">
        <v>1</v>
      </c>
      <c r="D332">
        <v>0</v>
      </c>
      <c r="E332">
        <v>2</v>
      </c>
      <c r="F332">
        <v>4</v>
      </c>
      <c r="G332" t="b">
        <v>0</v>
      </c>
      <c r="H332">
        <v>6</v>
      </c>
      <c r="I332">
        <v>1</v>
      </c>
      <c r="J332">
        <v>0.12</v>
      </c>
      <c r="K332">
        <v>0.16669999999999999</v>
      </c>
      <c r="L332">
        <v>0.74</v>
      </c>
      <c r="M332">
        <v>8.9599999999999999E-2</v>
      </c>
      <c r="N332">
        <v>0</v>
      </c>
      <c r="O332">
        <v>4</v>
      </c>
      <c r="P332">
        <v>4</v>
      </c>
    </row>
    <row r="333" spans="1:16" x14ac:dyDescent="0.3">
      <c r="A333">
        <v>951</v>
      </c>
      <c r="B333" s="1">
        <v>40586</v>
      </c>
      <c r="C333">
        <v>1</v>
      </c>
      <c r="D333">
        <v>0</v>
      </c>
      <c r="E333">
        <v>2</v>
      </c>
      <c r="F333">
        <v>5</v>
      </c>
      <c r="G333" t="b">
        <v>0</v>
      </c>
      <c r="H333">
        <v>6</v>
      </c>
      <c r="I333">
        <v>1</v>
      </c>
      <c r="J333">
        <v>0.12</v>
      </c>
      <c r="K333">
        <v>0.16669999999999999</v>
      </c>
      <c r="L333">
        <v>0.74</v>
      </c>
      <c r="M333">
        <v>8.9599999999999999E-2</v>
      </c>
      <c r="N333">
        <v>0</v>
      </c>
      <c r="O333">
        <v>1</v>
      </c>
      <c r="P333">
        <v>1</v>
      </c>
    </row>
    <row r="334" spans="1:16" x14ac:dyDescent="0.3">
      <c r="A334">
        <v>952</v>
      </c>
      <c r="B334" s="1">
        <v>40586</v>
      </c>
      <c r="C334">
        <v>1</v>
      </c>
      <c r="D334">
        <v>0</v>
      </c>
      <c r="E334">
        <v>2</v>
      </c>
      <c r="F334">
        <v>6</v>
      </c>
      <c r="G334" t="b">
        <v>0</v>
      </c>
      <c r="H334">
        <v>6</v>
      </c>
      <c r="I334">
        <v>1</v>
      </c>
      <c r="J334">
        <v>0.12</v>
      </c>
      <c r="K334">
        <v>0.13639999999999999</v>
      </c>
      <c r="L334">
        <v>0.93</v>
      </c>
      <c r="M334">
        <v>0.19400000000000001</v>
      </c>
      <c r="N334">
        <v>1</v>
      </c>
      <c r="O334">
        <v>1</v>
      </c>
      <c r="P334">
        <v>2</v>
      </c>
    </row>
    <row r="335" spans="1:16" x14ac:dyDescent="0.3">
      <c r="A335">
        <v>953</v>
      </c>
      <c r="B335" s="1">
        <v>40586</v>
      </c>
      <c r="C335">
        <v>1</v>
      </c>
      <c r="D335">
        <v>0</v>
      </c>
      <c r="E335">
        <v>2</v>
      </c>
      <c r="F335">
        <v>7</v>
      </c>
      <c r="G335" t="b">
        <v>0</v>
      </c>
      <c r="H335">
        <v>6</v>
      </c>
      <c r="I335">
        <v>1</v>
      </c>
      <c r="J335">
        <v>0.12</v>
      </c>
      <c r="K335">
        <v>0.1515</v>
      </c>
      <c r="L335">
        <v>0.8</v>
      </c>
      <c r="M335">
        <v>0.1045</v>
      </c>
      <c r="N335">
        <v>2</v>
      </c>
      <c r="O335">
        <v>9</v>
      </c>
      <c r="P335">
        <v>11</v>
      </c>
    </row>
    <row r="336" spans="1:16" x14ac:dyDescent="0.3">
      <c r="A336">
        <v>954</v>
      </c>
      <c r="B336" s="1">
        <v>40586</v>
      </c>
      <c r="C336">
        <v>1</v>
      </c>
      <c r="D336">
        <v>0</v>
      </c>
      <c r="E336">
        <v>2</v>
      </c>
      <c r="F336">
        <v>8</v>
      </c>
      <c r="G336" t="b">
        <v>0</v>
      </c>
      <c r="H336">
        <v>6</v>
      </c>
      <c r="I336">
        <v>1</v>
      </c>
      <c r="J336">
        <v>0.14000000000000001</v>
      </c>
      <c r="K336">
        <v>0.1515</v>
      </c>
      <c r="L336">
        <v>0.86</v>
      </c>
      <c r="M336">
        <v>0.1343</v>
      </c>
      <c r="N336">
        <v>2</v>
      </c>
      <c r="O336">
        <v>28</v>
      </c>
      <c r="P336">
        <v>30</v>
      </c>
    </row>
    <row r="337" spans="1:16" x14ac:dyDescent="0.3">
      <c r="A337">
        <v>955</v>
      </c>
      <c r="B337" s="1">
        <v>40586</v>
      </c>
      <c r="C337">
        <v>1</v>
      </c>
      <c r="D337">
        <v>0</v>
      </c>
      <c r="E337">
        <v>2</v>
      </c>
      <c r="F337">
        <v>9</v>
      </c>
      <c r="G337" t="b">
        <v>0</v>
      </c>
      <c r="H337">
        <v>6</v>
      </c>
      <c r="I337">
        <v>1</v>
      </c>
      <c r="J337">
        <v>0.16</v>
      </c>
      <c r="K337">
        <v>0.18179999999999999</v>
      </c>
      <c r="L337">
        <v>0.64</v>
      </c>
      <c r="M337">
        <v>0.1343</v>
      </c>
      <c r="N337">
        <v>5</v>
      </c>
      <c r="O337">
        <v>38</v>
      </c>
      <c r="P337">
        <v>43</v>
      </c>
    </row>
    <row r="338" spans="1:16" x14ac:dyDescent="0.3">
      <c r="A338">
        <v>956</v>
      </c>
      <c r="B338" s="1">
        <v>40586</v>
      </c>
      <c r="C338">
        <v>1</v>
      </c>
      <c r="D338">
        <v>0</v>
      </c>
      <c r="E338">
        <v>2</v>
      </c>
      <c r="F338">
        <v>10</v>
      </c>
      <c r="G338" t="b">
        <v>0</v>
      </c>
      <c r="H338">
        <v>6</v>
      </c>
      <c r="I338">
        <v>1</v>
      </c>
      <c r="J338">
        <v>0.22</v>
      </c>
      <c r="K338">
        <v>0.21210000000000001</v>
      </c>
      <c r="L338">
        <v>0.41</v>
      </c>
      <c r="M338">
        <v>0.25369999999999998</v>
      </c>
      <c r="N338">
        <v>13</v>
      </c>
      <c r="O338">
        <v>71</v>
      </c>
      <c r="P338">
        <v>84</v>
      </c>
    </row>
    <row r="339" spans="1:16" x14ac:dyDescent="0.3">
      <c r="A339">
        <v>957</v>
      </c>
      <c r="B339" s="1">
        <v>40586</v>
      </c>
      <c r="C339">
        <v>1</v>
      </c>
      <c r="D339">
        <v>0</v>
      </c>
      <c r="E339">
        <v>2</v>
      </c>
      <c r="F339">
        <v>11</v>
      </c>
      <c r="G339" t="b">
        <v>0</v>
      </c>
      <c r="H339">
        <v>6</v>
      </c>
      <c r="I339">
        <v>1</v>
      </c>
      <c r="J339">
        <v>0.3</v>
      </c>
      <c r="K339">
        <v>0.2727</v>
      </c>
      <c r="L339">
        <v>0.28000000000000003</v>
      </c>
      <c r="M339">
        <v>0.32840000000000003</v>
      </c>
      <c r="N339">
        <v>30</v>
      </c>
      <c r="O339">
        <v>84</v>
      </c>
      <c r="P339">
        <v>114</v>
      </c>
    </row>
    <row r="340" spans="1:16" x14ac:dyDescent="0.3">
      <c r="A340">
        <v>958</v>
      </c>
      <c r="B340" s="1">
        <v>40586</v>
      </c>
      <c r="C340">
        <v>1</v>
      </c>
      <c r="D340">
        <v>0</v>
      </c>
      <c r="E340">
        <v>2</v>
      </c>
      <c r="F340">
        <v>12</v>
      </c>
      <c r="G340" t="b">
        <v>0</v>
      </c>
      <c r="H340">
        <v>6</v>
      </c>
      <c r="I340">
        <v>1</v>
      </c>
      <c r="J340">
        <v>0.3</v>
      </c>
      <c r="K340">
        <v>0.2727</v>
      </c>
      <c r="L340">
        <v>0.39</v>
      </c>
      <c r="M340">
        <v>0.4627</v>
      </c>
      <c r="N340">
        <v>27</v>
      </c>
      <c r="O340">
        <v>93</v>
      </c>
      <c r="P340">
        <v>120</v>
      </c>
    </row>
    <row r="341" spans="1:16" x14ac:dyDescent="0.3">
      <c r="A341">
        <v>959</v>
      </c>
      <c r="B341" s="1">
        <v>40586</v>
      </c>
      <c r="C341">
        <v>1</v>
      </c>
      <c r="D341">
        <v>0</v>
      </c>
      <c r="E341">
        <v>2</v>
      </c>
      <c r="F341">
        <v>13</v>
      </c>
      <c r="G341" t="b">
        <v>0</v>
      </c>
      <c r="H341">
        <v>6</v>
      </c>
      <c r="I341">
        <v>1</v>
      </c>
      <c r="J341">
        <v>0.3</v>
      </c>
      <c r="K341">
        <v>0.2727</v>
      </c>
      <c r="L341">
        <v>0.39</v>
      </c>
      <c r="M341">
        <v>0.41789999999999999</v>
      </c>
      <c r="N341">
        <v>32</v>
      </c>
      <c r="O341">
        <v>103</v>
      </c>
      <c r="P341">
        <v>135</v>
      </c>
    </row>
    <row r="342" spans="1:16" x14ac:dyDescent="0.3">
      <c r="A342">
        <v>960</v>
      </c>
      <c r="B342" s="1">
        <v>40586</v>
      </c>
      <c r="C342">
        <v>1</v>
      </c>
      <c r="D342">
        <v>0</v>
      </c>
      <c r="E342">
        <v>2</v>
      </c>
      <c r="F342">
        <v>14</v>
      </c>
      <c r="G342" t="b">
        <v>0</v>
      </c>
      <c r="H342">
        <v>6</v>
      </c>
      <c r="I342">
        <v>1</v>
      </c>
      <c r="J342">
        <v>0.34</v>
      </c>
      <c r="K342">
        <v>0.31819999999999998</v>
      </c>
      <c r="L342">
        <v>0.31</v>
      </c>
      <c r="M342">
        <v>0.28360000000000002</v>
      </c>
      <c r="N342">
        <v>30</v>
      </c>
      <c r="O342">
        <v>90</v>
      </c>
      <c r="P342">
        <v>120</v>
      </c>
    </row>
    <row r="343" spans="1:16" x14ac:dyDescent="0.3">
      <c r="A343">
        <v>961</v>
      </c>
      <c r="B343" s="1">
        <v>40586</v>
      </c>
      <c r="C343">
        <v>1</v>
      </c>
      <c r="D343">
        <v>0</v>
      </c>
      <c r="E343">
        <v>2</v>
      </c>
      <c r="F343">
        <v>15</v>
      </c>
      <c r="G343" t="b">
        <v>0</v>
      </c>
      <c r="H343">
        <v>6</v>
      </c>
      <c r="I343">
        <v>1</v>
      </c>
      <c r="J343">
        <v>0.34</v>
      </c>
      <c r="K343">
        <v>0.30299999999999999</v>
      </c>
      <c r="L343">
        <v>0.28999999999999998</v>
      </c>
      <c r="M343">
        <v>0.41789999999999999</v>
      </c>
      <c r="N343">
        <v>47</v>
      </c>
      <c r="O343">
        <v>127</v>
      </c>
      <c r="P343">
        <v>174</v>
      </c>
    </row>
    <row r="344" spans="1:16" x14ac:dyDescent="0.3">
      <c r="A344">
        <v>962</v>
      </c>
      <c r="B344" s="1">
        <v>40586</v>
      </c>
      <c r="C344">
        <v>1</v>
      </c>
      <c r="D344">
        <v>0</v>
      </c>
      <c r="E344">
        <v>2</v>
      </c>
      <c r="F344">
        <v>16</v>
      </c>
      <c r="G344" t="b">
        <v>0</v>
      </c>
      <c r="H344">
        <v>6</v>
      </c>
      <c r="I344">
        <v>1</v>
      </c>
      <c r="J344">
        <v>0.34</v>
      </c>
      <c r="K344">
        <v>0.30299999999999999</v>
      </c>
      <c r="L344">
        <v>0.28999999999999998</v>
      </c>
      <c r="M344">
        <v>0.41789999999999999</v>
      </c>
      <c r="N344">
        <v>42</v>
      </c>
      <c r="O344">
        <v>103</v>
      </c>
      <c r="P344">
        <v>145</v>
      </c>
    </row>
    <row r="345" spans="1:16" x14ac:dyDescent="0.3">
      <c r="A345">
        <v>963</v>
      </c>
      <c r="B345" s="1">
        <v>40586</v>
      </c>
      <c r="C345">
        <v>1</v>
      </c>
      <c r="D345">
        <v>0</v>
      </c>
      <c r="E345">
        <v>2</v>
      </c>
      <c r="F345">
        <v>17</v>
      </c>
      <c r="G345" t="b">
        <v>0</v>
      </c>
      <c r="H345">
        <v>6</v>
      </c>
      <c r="I345">
        <v>1</v>
      </c>
      <c r="J345">
        <v>0.32</v>
      </c>
      <c r="K345">
        <v>0.28789999999999999</v>
      </c>
      <c r="L345">
        <v>0.31</v>
      </c>
      <c r="M345">
        <v>0.52239999999999998</v>
      </c>
      <c r="N345">
        <v>24</v>
      </c>
      <c r="O345">
        <v>113</v>
      </c>
      <c r="P345">
        <v>137</v>
      </c>
    </row>
    <row r="346" spans="1:16" x14ac:dyDescent="0.3">
      <c r="A346">
        <v>964</v>
      </c>
      <c r="B346" s="1">
        <v>40586</v>
      </c>
      <c r="C346">
        <v>1</v>
      </c>
      <c r="D346">
        <v>0</v>
      </c>
      <c r="E346">
        <v>2</v>
      </c>
      <c r="F346">
        <v>18</v>
      </c>
      <c r="G346" t="b">
        <v>0</v>
      </c>
      <c r="H346">
        <v>6</v>
      </c>
      <c r="I346">
        <v>1</v>
      </c>
      <c r="J346">
        <v>0.28000000000000003</v>
      </c>
      <c r="K346">
        <v>0.2576</v>
      </c>
      <c r="L346">
        <v>0.38</v>
      </c>
      <c r="M346">
        <v>0.32840000000000003</v>
      </c>
      <c r="N346">
        <v>4</v>
      </c>
      <c r="O346">
        <v>60</v>
      </c>
      <c r="P346">
        <v>64</v>
      </c>
    </row>
    <row r="347" spans="1:16" x14ac:dyDescent="0.3">
      <c r="A347">
        <v>965</v>
      </c>
      <c r="B347" s="1">
        <v>40586</v>
      </c>
      <c r="C347">
        <v>1</v>
      </c>
      <c r="D347">
        <v>0</v>
      </c>
      <c r="E347">
        <v>2</v>
      </c>
      <c r="F347">
        <v>19</v>
      </c>
      <c r="G347" t="b">
        <v>0</v>
      </c>
      <c r="H347">
        <v>6</v>
      </c>
      <c r="I347">
        <v>1</v>
      </c>
      <c r="J347">
        <v>0.28000000000000003</v>
      </c>
      <c r="K347">
        <v>0.2727</v>
      </c>
      <c r="L347">
        <v>0.38</v>
      </c>
      <c r="M347">
        <v>0.16420000000000001</v>
      </c>
      <c r="N347">
        <v>2</v>
      </c>
      <c r="O347">
        <v>39</v>
      </c>
      <c r="P347">
        <v>41</v>
      </c>
    </row>
    <row r="348" spans="1:16" x14ac:dyDescent="0.3">
      <c r="A348">
        <v>966</v>
      </c>
      <c r="B348" s="1">
        <v>40586</v>
      </c>
      <c r="C348">
        <v>1</v>
      </c>
      <c r="D348">
        <v>0</v>
      </c>
      <c r="E348">
        <v>2</v>
      </c>
      <c r="F348">
        <v>20</v>
      </c>
      <c r="G348" t="b">
        <v>0</v>
      </c>
      <c r="H348">
        <v>6</v>
      </c>
      <c r="I348">
        <v>1</v>
      </c>
      <c r="J348">
        <v>0.26</v>
      </c>
      <c r="K348">
        <v>0.2576</v>
      </c>
      <c r="L348">
        <v>0.41</v>
      </c>
      <c r="M348">
        <v>0.22389999999999999</v>
      </c>
      <c r="N348">
        <v>1</v>
      </c>
      <c r="O348">
        <v>39</v>
      </c>
      <c r="P348">
        <v>40</v>
      </c>
    </row>
    <row r="349" spans="1:16" x14ac:dyDescent="0.3">
      <c r="A349">
        <v>967</v>
      </c>
      <c r="B349" s="1">
        <v>40586</v>
      </c>
      <c r="C349">
        <v>1</v>
      </c>
      <c r="D349">
        <v>0</v>
      </c>
      <c r="E349">
        <v>2</v>
      </c>
      <c r="F349">
        <v>21</v>
      </c>
      <c r="G349" t="b">
        <v>0</v>
      </c>
      <c r="H349">
        <v>6</v>
      </c>
      <c r="I349">
        <v>1</v>
      </c>
      <c r="J349">
        <v>0.26</v>
      </c>
      <c r="K349">
        <v>0.30299999999999999</v>
      </c>
      <c r="L349">
        <v>0.41</v>
      </c>
      <c r="M349">
        <v>0</v>
      </c>
      <c r="N349">
        <v>9</v>
      </c>
      <c r="O349">
        <v>42</v>
      </c>
      <c r="P349">
        <v>51</v>
      </c>
    </row>
    <row r="350" spans="1:16" x14ac:dyDescent="0.3">
      <c r="A350">
        <v>968</v>
      </c>
      <c r="B350" s="1">
        <v>40586</v>
      </c>
      <c r="C350">
        <v>1</v>
      </c>
      <c r="D350">
        <v>0</v>
      </c>
      <c r="E350">
        <v>2</v>
      </c>
      <c r="F350">
        <v>22</v>
      </c>
      <c r="G350" t="b">
        <v>0</v>
      </c>
      <c r="H350">
        <v>6</v>
      </c>
      <c r="I350">
        <v>1</v>
      </c>
      <c r="J350">
        <v>0.24</v>
      </c>
      <c r="K350">
        <v>0.2576</v>
      </c>
      <c r="L350">
        <v>0.44</v>
      </c>
      <c r="M350">
        <v>8.9599999999999999E-2</v>
      </c>
      <c r="N350">
        <v>6</v>
      </c>
      <c r="O350">
        <v>39</v>
      </c>
      <c r="P350">
        <v>45</v>
      </c>
    </row>
    <row r="351" spans="1:16" x14ac:dyDescent="0.3">
      <c r="A351">
        <v>969</v>
      </c>
      <c r="B351" s="1">
        <v>40586</v>
      </c>
      <c r="C351">
        <v>1</v>
      </c>
      <c r="D351">
        <v>0</v>
      </c>
      <c r="E351">
        <v>2</v>
      </c>
      <c r="F351">
        <v>23</v>
      </c>
      <c r="G351" t="b">
        <v>0</v>
      </c>
      <c r="H351">
        <v>6</v>
      </c>
      <c r="I351">
        <v>1</v>
      </c>
      <c r="J351">
        <v>0.22</v>
      </c>
      <c r="K351">
        <v>0.2273</v>
      </c>
      <c r="L351">
        <v>0.51</v>
      </c>
      <c r="M351">
        <v>0.1343</v>
      </c>
      <c r="N351">
        <v>1</v>
      </c>
      <c r="O351">
        <v>31</v>
      </c>
      <c r="P351">
        <v>32</v>
      </c>
    </row>
    <row r="352" spans="1:16" x14ac:dyDescent="0.3">
      <c r="A352">
        <v>970</v>
      </c>
      <c r="B352" s="1">
        <v>40587</v>
      </c>
      <c r="C352">
        <v>1</v>
      </c>
      <c r="D352">
        <v>0</v>
      </c>
      <c r="E352">
        <v>2</v>
      </c>
      <c r="F352">
        <v>0</v>
      </c>
      <c r="G352" t="b">
        <v>0</v>
      </c>
      <c r="H352">
        <v>0</v>
      </c>
      <c r="I352">
        <v>1</v>
      </c>
      <c r="J352">
        <v>0.2</v>
      </c>
      <c r="K352">
        <v>0.2273</v>
      </c>
      <c r="L352">
        <v>0.64</v>
      </c>
      <c r="M352">
        <v>0.1045</v>
      </c>
      <c r="N352">
        <v>5</v>
      </c>
      <c r="O352">
        <v>34</v>
      </c>
      <c r="P352">
        <v>39</v>
      </c>
    </row>
    <row r="353" spans="1:16" x14ac:dyDescent="0.3">
      <c r="A353">
        <v>971</v>
      </c>
      <c r="B353" s="1">
        <v>40587</v>
      </c>
      <c r="C353">
        <v>1</v>
      </c>
      <c r="D353">
        <v>0</v>
      </c>
      <c r="E353">
        <v>2</v>
      </c>
      <c r="F353">
        <v>1</v>
      </c>
      <c r="G353" t="b">
        <v>0</v>
      </c>
      <c r="H353">
        <v>0</v>
      </c>
      <c r="I353">
        <v>1</v>
      </c>
      <c r="J353">
        <v>0.2</v>
      </c>
      <c r="K353">
        <v>0.2273</v>
      </c>
      <c r="L353">
        <v>0.59</v>
      </c>
      <c r="M353">
        <v>8.9599999999999999E-2</v>
      </c>
      <c r="N353">
        <v>1</v>
      </c>
      <c r="O353">
        <v>23</v>
      </c>
      <c r="P353">
        <v>24</v>
      </c>
    </row>
    <row r="354" spans="1:16" x14ac:dyDescent="0.3">
      <c r="A354">
        <v>972</v>
      </c>
      <c r="B354" s="1">
        <v>40587</v>
      </c>
      <c r="C354">
        <v>1</v>
      </c>
      <c r="D354">
        <v>0</v>
      </c>
      <c r="E354">
        <v>2</v>
      </c>
      <c r="F354">
        <v>2</v>
      </c>
      <c r="G354" t="b">
        <v>0</v>
      </c>
      <c r="H354">
        <v>0</v>
      </c>
      <c r="I354">
        <v>2</v>
      </c>
      <c r="J354">
        <v>0.2</v>
      </c>
      <c r="K354">
        <v>0.2273</v>
      </c>
      <c r="L354">
        <v>0.75</v>
      </c>
      <c r="M354">
        <v>8.9599999999999999E-2</v>
      </c>
      <c r="N354">
        <v>1</v>
      </c>
      <c r="O354">
        <v>19</v>
      </c>
      <c r="P354">
        <v>20</v>
      </c>
    </row>
    <row r="355" spans="1:16" x14ac:dyDescent="0.3">
      <c r="A355">
        <v>973</v>
      </c>
      <c r="B355" s="1">
        <v>40587</v>
      </c>
      <c r="C355">
        <v>1</v>
      </c>
      <c r="D355">
        <v>0</v>
      </c>
      <c r="E355">
        <v>2</v>
      </c>
      <c r="F355">
        <v>3</v>
      </c>
      <c r="G355" t="b">
        <v>0</v>
      </c>
      <c r="H355">
        <v>0</v>
      </c>
      <c r="I355">
        <v>2</v>
      </c>
      <c r="J355">
        <v>0.2</v>
      </c>
      <c r="K355">
        <v>0.2273</v>
      </c>
      <c r="L355">
        <v>0.69</v>
      </c>
      <c r="M355">
        <v>0.1045</v>
      </c>
      <c r="N355">
        <v>4</v>
      </c>
      <c r="O355">
        <v>8</v>
      </c>
      <c r="P355">
        <v>12</v>
      </c>
    </row>
    <row r="356" spans="1:16" x14ac:dyDescent="0.3">
      <c r="A356">
        <v>974</v>
      </c>
      <c r="B356" s="1">
        <v>40587</v>
      </c>
      <c r="C356">
        <v>1</v>
      </c>
      <c r="D356">
        <v>0</v>
      </c>
      <c r="E356">
        <v>2</v>
      </c>
      <c r="F356">
        <v>4</v>
      </c>
      <c r="G356" t="b">
        <v>0</v>
      </c>
      <c r="H356">
        <v>0</v>
      </c>
      <c r="I356">
        <v>2</v>
      </c>
      <c r="J356">
        <v>0.2</v>
      </c>
      <c r="K356">
        <v>0.21210000000000001</v>
      </c>
      <c r="L356">
        <v>0.69</v>
      </c>
      <c r="M356">
        <v>0.16420000000000001</v>
      </c>
      <c r="N356">
        <v>0</v>
      </c>
      <c r="O356">
        <v>2</v>
      </c>
      <c r="P356">
        <v>2</v>
      </c>
    </row>
    <row r="357" spans="1:16" x14ac:dyDescent="0.3">
      <c r="A357">
        <v>975</v>
      </c>
      <c r="B357" s="1">
        <v>40587</v>
      </c>
      <c r="C357">
        <v>1</v>
      </c>
      <c r="D357">
        <v>0</v>
      </c>
      <c r="E357">
        <v>2</v>
      </c>
      <c r="F357">
        <v>6</v>
      </c>
      <c r="G357" t="b">
        <v>0</v>
      </c>
      <c r="H357">
        <v>0</v>
      </c>
      <c r="I357">
        <v>2</v>
      </c>
      <c r="J357">
        <v>0.2</v>
      </c>
      <c r="K357">
        <v>0.21210000000000001</v>
      </c>
      <c r="L357">
        <v>0.69</v>
      </c>
      <c r="M357">
        <v>0.1343</v>
      </c>
      <c r="N357">
        <v>2</v>
      </c>
      <c r="O357">
        <v>3</v>
      </c>
      <c r="P357">
        <v>5</v>
      </c>
    </row>
    <row r="358" spans="1:16" x14ac:dyDescent="0.3">
      <c r="A358">
        <v>976</v>
      </c>
      <c r="B358" s="1">
        <v>40587</v>
      </c>
      <c r="C358">
        <v>1</v>
      </c>
      <c r="D358">
        <v>0</v>
      </c>
      <c r="E358">
        <v>2</v>
      </c>
      <c r="F358">
        <v>7</v>
      </c>
      <c r="G358" t="b">
        <v>0</v>
      </c>
      <c r="H358">
        <v>0</v>
      </c>
      <c r="I358">
        <v>2</v>
      </c>
      <c r="J358">
        <v>0.22</v>
      </c>
      <c r="K358">
        <v>0.2727</v>
      </c>
      <c r="L358">
        <v>0.55000000000000004</v>
      </c>
      <c r="M358">
        <v>0</v>
      </c>
      <c r="N358">
        <v>0</v>
      </c>
      <c r="O358">
        <v>3</v>
      </c>
      <c r="P358">
        <v>3</v>
      </c>
    </row>
    <row r="359" spans="1:16" x14ac:dyDescent="0.3">
      <c r="A359">
        <v>977</v>
      </c>
      <c r="B359" s="1">
        <v>40587</v>
      </c>
      <c r="C359">
        <v>1</v>
      </c>
      <c r="D359">
        <v>0</v>
      </c>
      <c r="E359">
        <v>2</v>
      </c>
      <c r="F359">
        <v>8</v>
      </c>
      <c r="G359" t="b">
        <v>0</v>
      </c>
      <c r="H359">
        <v>0</v>
      </c>
      <c r="I359">
        <v>2</v>
      </c>
      <c r="J359">
        <v>0.22</v>
      </c>
      <c r="K359">
        <v>0.2273</v>
      </c>
      <c r="L359">
        <v>0.64</v>
      </c>
      <c r="M359">
        <v>0.19400000000000001</v>
      </c>
      <c r="N359">
        <v>1</v>
      </c>
      <c r="O359">
        <v>11</v>
      </c>
      <c r="P359">
        <v>12</v>
      </c>
    </row>
    <row r="360" spans="1:16" x14ac:dyDescent="0.3">
      <c r="A360">
        <v>978</v>
      </c>
      <c r="B360" s="1">
        <v>40587</v>
      </c>
      <c r="C360">
        <v>1</v>
      </c>
      <c r="D360">
        <v>0</v>
      </c>
      <c r="E360">
        <v>2</v>
      </c>
      <c r="F360">
        <v>9</v>
      </c>
      <c r="G360" t="b">
        <v>0</v>
      </c>
      <c r="H360">
        <v>0</v>
      </c>
      <c r="I360">
        <v>2</v>
      </c>
      <c r="J360">
        <v>0.24</v>
      </c>
      <c r="K360">
        <v>0.2273</v>
      </c>
      <c r="L360">
        <v>0.6</v>
      </c>
      <c r="M360">
        <v>0.22389999999999999</v>
      </c>
      <c r="N360">
        <v>12</v>
      </c>
      <c r="O360">
        <v>35</v>
      </c>
      <c r="P360">
        <v>47</v>
      </c>
    </row>
    <row r="361" spans="1:16" x14ac:dyDescent="0.3">
      <c r="A361">
        <v>979</v>
      </c>
      <c r="B361" s="1">
        <v>40587</v>
      </c>
      <c r="C361">
        <v>1</v>
      </c>
      <c r="D361">
        <v>0</v>
      </c>
      <c r="E361">
        <v>2</v>
      </c>
      <c r="F361">
        <v>10</v>
      </c>
      <c r="G361" t="b">
        <v>0</v>
      </c>
      <c r="H361">
        <v>0</v>
      </c>
      <c r="I361">
        <v>1</v>
      </c>
      <c r="J361">
        <v>0.3</v>
      </c>
      <c r="K361">
        <v>0.2727</v>
      </c>
      <c r="L361">
        <v>0.45</v>
      </c>
      <c r="M361">
        <v>0.32840000000000003</v>
      </c>
      <c r="N361">
        <v>19</v>
      </c>
      <c r="O361">
        <v>86</v>
      </c>
      <c r="P361">
        <v>105</v>
      </c>
    </row>
    <row r="362" spans="1:16" x14ac:dyDescent="0.3">
      <c r="A362">
        <v>980</v>
      </c>
      <c r="B362" s="1">
        <v>40587</v>
      </c>
      <c r="C362">
        <v>1</v>
      </c>
      <c r="D362">
        <v>0</v>
      </c>
      <c r="E362">
        <v>2</v>
      </c>
      <c r="F362">
        <v>11</v>
      </c>
      <c r="G362" t="b">
        <v>0</v>
      </c>
      <c r="H362">
        <v>0</v>
      </c>
      <c r="I362">
        <v>1</v>
      </c>
      <c r="J362">
        <v>0.32</v>
      </c>
      <c r="K362">
        <v>0.28789999999999999</v>
      </c>
      <c r="L362">
        <v>0.39</v>
      </c>
      <c r="M362">
        <v>0.44779999999999998</v>
      </c>
      <c r="N362">
        <v>26</v>
      </c>
      <c r="O362">
        <v>86</v>
      </c>
      <c r="P362">
        <v>112</v>
      </c>
    </row>
    <row r="363" spans="1:16" x14ac:dyDescent="0.3">
      <c r="A363">
        <v>981</v>
      </c>
      <c r="B363" s="1">
        <v>40587</v>
      </c>
      <c r="C363">
        <v>1</v>
      </c>
      <c r="D363">
        <v>0</v>
      </c>
      <c r="E363">
        <v>2</v>
      </c>
      <c r="F363">
        <v>12</v>
      </c>
      <c r="G363" t="b">
        <v>0</v>
      </c>
      <c r="H363">
        <v>0</v>
      </c>
      <c r="I363">
        <v>1</v>
      </c>
      <c r="J363">
        <v>0.36</v>
      </c>
      <c r="K363">
        <v>0.31819999999999998</v>
      </c>
      <c r="L363">
        <v>0.32</v>
      </c>
      <c r="M363">
        <v>0.4627</v>
      </c>
      <c r="N363">
        <v>58</v>
      </c>
      <c r="O363">
        <v>94</v>
      </c>
      <c r="P363">
        <v>152</v>
      </c>
    </row>
    <row r="364" spans="1:16" x14ac:dyDescent="0.3">
      <c r="A364">
        <v>982</v>
      </c>
      <c r="B364" s="1">
        <v>40587</v>
      </c>
      <c r="C364">
        <v>1</v>
      </c>
      <c r="D364">
        <v>0</v>
      </c>
      <c r="E364">
        <v>2</v>
      </c>
      <c r="F364">
        <v>13</v>
      </c>
      <c r="G364" t="b">
        <v>0</v>
      </c>
      <c r="H364">
        <v>0</v>
      </c>
      <c r="I364">
        <v>1</v>
      </c>
      <c r="J364">
        <v>0.38</v>
      </c>
      <c r="K364">
        <v>0.39389999999999997</v>
      </c>
      <c r="L364">
        <v>0.28999999999999998</v>
      </c>
      <c r="M364">
        <v>0.35820000000000002</v>
      </c>
      <c r="N364">
        <v>62</v>
      </c>
      <c r="O364">
        <v>92</v>
      </c>
      <c r="P364">
        <v>154</v>
      </c>
    </row>
    <row r="365" spans="1:16" x14ac:dyDescent="0.3">
      <c r="A365">
        <v>983</v>
      </c>
      <c r="B365" s="1">
        <v>40587</v>
      </c>
      <c r="C365">
        <v>1</v>
      </c>
      <c r="D365">
        <v>0</v>
      </c>
      <c r="E365">
        <v>2</v>
      </c>
      <c r="F365">
        <v>14</v>
      </c>
      <c r="G365" t="b">
        <v>0</v>
      </c>
      <c r="H365">
        <v>0</v>
      </c>
      <c r="I365">
        <v>2</v>
      </c>
      <c r="J365">
        <v>0.4</v>
      </c>
      <c r="K365">
        <v>0.40910000000000002</v>
      </c>
      <c r="L365">
        <v>0.3</v>
      </c>
      <c r="M365">
        <v>0.41789999999999999</v>
      </c>
      <c r="N365">
        <v>51</v>
      </c>
      <c r="O365">
        <v>110</v>
      </c>
      <c r="P365">
        <v>161</v>
      </c>
    </row>
    <row r="366" spans="1:16" x14ac:dyDescent="0.3">
      <c r="A366">
        <v>984</v>
      </c>
      <c r="B366" s="1">
        <v>40587</v>
      </c>
      <c r="C366">
        <v>1</v>
      </c>
      <c r="D366">
        <v>0</v>
      </c>
      <c r="E366">
        <v>2</v>
      </c>
      <c r="F366">
        <v>15</v>
      </c>
      <c r="G366" t="b">
        <v>0</v>
      </c>
      <c r="H366">
        <v>0</v>
      </c>
      <c r="I366">
        <v>2</v>
      </c>
      <c r="J366">
        <v>0.4</v>
      </c>
      <c r="K366">
        <v>0.40910000000000002</v>
      </c>
      <c r="L366">
        <v>0.3</v>
      </c>
      <c r="M366">
        <v>0.29849999999999999</v>
      </c>
      <c r="N366">
        <v>40</v>
      </c>
      <c r="O366">
        <v>122</v>
      </c>
      <c r="P366">
        <v>162</v>
      </c>
    </row>
    <row r="367" spans="1:16" x14ac:dyDescent="0.3">
      <c r="A367">
        <v>985</v>
      </c>
      <c r="B367" s="1">
        <v>40587</v>
      </c>
      <c r="C367">
        <v>1</v>
      </c>
      <c r="D367">
        <v>0</v>
      </c>
      <c r="E367">
        <v>2</v>
      </c>
      <c r="F367">
        <v>16</v>
      </c>
      <c r="G367" t="b">
        <v>0</v>
      </c>
      <c r="H367">
        <v>0</v>
      </c>
      <c r="I367">
        <v>2</v>
      </c>
      <c r="J367">
        <v>0.42</v>
      </c>
      <c r="K367">
        <v>0.42420000000000002</v>
      </c>
      <c r="L367">
        <v>0.28000000000000003</v>
      </c>
      <c r="M367">
        <v>0.32840000000000003</v>
      </c>
      <c r="N367">
        <v>28</v>
      </c>
      <c r="O367">
        <v>106</v>
      </c>
      <c r="P367">
        <v>134</v>
      </c>
    </row>
    <row r="368" spans="1:16" x14ac:dyDescent="0.3">
      <c r="A368">
        <v>986</v>
      </c>
      <c r="B368" s="1">
        <v>40587</v>
      </c>
      <c r="C368">
        <v>1</v>
      </c>
      <c r="D368">
        <v>0</v>
      </c>
      <c r="E368">
        <v>2</v>
      </c>
      <c r="F368">
        <v>17</v>
      </c>
      <c r="G368" t="b">
        <v>0</v>
      </c>
      <c r="H368">
        <v>0</v>
      </c>
      <c r="I368">
        <v>1</v>
      </c>
      <c r="J368">
        <v>0.42</v>
      </c>
      <c r="K368">
        <v>0.42420000000000002</v>
      </c>
      <c r="L368">
        <v>0.28000000000000003</v>
      </c>
      <c r="M368">
        <v>0.32840000000000003</v>
      </c>
      <c r="N368">
        <v>30</v>
      </c>
      <c r="O368">
        <v>95</v>
      </c>
      <c r="P368">
        <v>125</v>
      </c>
    </row>
    <row r="369" spans="1:16" x14ac:dyDescent="0.3">
      <c r="A369">
        <v>987</v>
      </c>
      <c r="B369" s="1">
        <v>40587</v>
      </c>
      <c r="C369">
        <v>1</v>
      </c>
      <c r="D369">
        <v>0</v>
      </c>
      <c r="E369">
        <v>2</v>
      </c>
      <c r="F369">
        <v>18</v>
      </c>
      <c r="G369" t="b">
        <v>0</v>
      </c>
      <c r="H369">
        <v>0</v>
      </c>
      <c r="I369">
        <v>1</v>
      </c>
      <c r="J369">
        <v>0.4</v>
      </c>
      <c r="K369">
        <v>0.40910000000000002</v>
      </c>
      <c r="L369">
        <v>0.32</v>
      </c>
      <c r="M369">
        <v>0.29849999999999999</v>
      </c>
      <c r="N369">
        <v>17</v>
      </c>
      <c r="O369">
        <v>78</v>
      </c>
      <c r="P369">
        <v>95</v>
      </c>
    </row>
    <row r="370" spans="1:16" x14ac:dyDescent="0.3">
      <c r="A370">
        <v>988</v>
      </c>
      <c r="B370" s="1">
        <v>40587</v>
      </c>
      <c r="C370">
        <v>1</v>
      </c>
      <c r="D370">
        <v>0</v>
      </c>
      <c r="E370">
        <v>2</v>
      </c>
      <c r="F370">
        <v>19</v>
      </c>
      <c r="G370" t="b">
        <v>0</v>
      </c>
      <c r="H370">
        <v>0</v>
      </c>
      <c r="I370">
        <v>1</v>
      </c>
      <c r="J370">
        <v>0.4</v>
      </c>
      <c r="K370">
        <v>0.40910000000000002</v>
      </c>
      <c r="L370">
        <v>0.35</v>
      </c>
      <c r="M370">
        <v>0.28360000000000002</v>
      </c>
      <c r="N370">
        <v>11</v>
      </c>
      <c r="O370">
        <v>50</v>
      </c>
      <c r="P370">
        <v>61</v>
      </c>
    </row>
    <row r="371" spans="1:16" x14ac:dyDescent="0.3">
      <c r="A371">
        <v>989</v>
      </c>
      <c r="B371" s="1">
        <v>40587</v>
      </c>
      <c r="C371">
        <v>1</v>
      </c>
      <c r="D371">
        <v>0</v>
      </c>
      <c r="E371">
        <v>2</v>
      </c>
      <c r="F371">
        <v>20</v>
      </c>
      <c r="G371" t="b">
        <v>0</v>
      </c>
      <c r="H371">
        <v>0</v>
      </c>
      <c r="I371">
        <v>1</v>
      </c>
      <c r="J371">
        <v>0.4</v>
      </c>
      <c r="K371">
        <v>0.40910000000000002</v>
      </c>
      <c r="L371">
        <v>0.35</v>
      </c>
      <c r="M371">
        <v>0.32840000000000003</v>
      </c>
      <c r="N371">
        <v>15</v>
      </c>
      <c r="O371">
        <v>32</v>
      </c>
      <c r="P371">
        <v>47</v>
      </c>
    </row>
    <row r="372" spans="1:16" x14ac:dyDescent="0.3">
      <c r="A372">
        <v>990</v>
      </c>
      <c r="B372" s="1">
        <v>40587</v>
      </c>
      <c r="C372">
        <v>1</v>
      </c>
      <c r="D372">
        <v>0</v>
      </c>
      <c r="E372">
        <v>2</v>
      </c>
      <c r="F372">
        <v>21</v>
      </c>
      <c r="G372" t="b">
        <v>0</v>
      </c>
      <c r="H372">
        <v>0</v>
      </c>
      <c r="I372">
        <v>1</v>
      </c>
      <c r="J372">
        <v>0.4</v>
      </c>
      <c r="K372">
        <v>0.40910000000000002</v>
      </c>
      <c r="L372">
        <v>0.35</v>
      </c>
      <c r="M372">
        <v>0.35820000000000002</v>
      </c>
      <c r="N372">
        <v>6</v>
      </c>
      <c r="O372">
        <v>45</v>
      </c>
      <c r="P372">
        <v>51</v>
      </c>
    </row>
    <row r="373" spans="1:16" x14ac:dyDescent="0.3">
      <c r="A373">
        <v>991</v>
      </c>
      <c r="B373" s="1">
        <v>40587</v>
      </c>
      <c r="C373">
        <v>1</v>
      </c>
      <c r="D373">
        <v>0</v>
      </c>
      <c r="E373">
        <v>2</v>
      </c>
      <c r="F373">
        <v>22</v>
      </c>
      <c r="G373" t="b">
        <v>0</v>
      </c>
      <c r="H373">
        <v>0</v>
      </c>
      <c r="I373">
        <v>1</v>
      </c>
      <c r="J373">
        <v>0.4</v>
      </c>
      <c r="K373">
        <v>0.40910000000000002</v>
      </c>
      <c r="L373">
        <v>0.35</v>
      </c>
      <c r="M373">
        <v>0.29849999999999999</v>
      </c>
      <c r="N373">
        <v>5</v>
      </c>
      <c r="O373">
        <v>31</v>
      </c>
      <c r="P373">
        <v>36</v>
      </c>
    </row>
    <row r="374" spans="1:16" x14ac:dyDescent="0.3">
      <c r="A374">
        <v>992</v>
      </c>
      <c r="B374" s="1">
        <v>40587</v>
      </c>
      <c r="C374">
        <v>1</v>
      </c>
      <c r="D374">
        <v>0</v>
      </c>
      <c r="E374">
        <v>2</v>
      </c>
      <c r="F374">
        <v>23</v>
      </c>
      <c r="G374" t="b">
        <v>0</v>
      </c>
      <c r="H374">
        <v>0</v>
      </c>
      <c r="I374">
        <v>1</v>
      </c>
      <c r="J374">
        <v>0.4</v>
      </c>
      <c r="K374">
        <v>0.40910000000000002</v>
      </c>
      <c r="L374">
        <v>0.35</v>
      </c>
      <c r="M374">
        <v>0.35820000000000002</v>
      </c>
      <c r="N374">
        <v>3</v>
      </c>
      <c r="O374">
        <v>27</v>
      </c>
      <c r="P374">
        <v>30</v>
      </c>
    </row>
    <row r="375" spans="1:16" x14ac:dyDescent="0.3">
      <c r="A375">
        <v>993</v>
      </c>
      <c r="B375" s="1">
        <v>40588</v>
      </c>
      <c r="C375">
        <v>1</v>
      </c>
      <c r="D375">
        <v>0</v>
      </c>
      <c r="E375">
        <v>2</v>
      </c>
      <c r="F375">
        <v>0</v>
      </c>
      <c r="G375" t="b">
        <v>0</v>
      </c>
      <c r="H375">
        <v>1</v>
      </c>
      <c r="I375">
        <v>1</v>
      </c>
      <c r="J375">
        <v>0.38</v>
      </c>
      <c r="K375">
        <v>0.39389999999999997</v>
      </c>
      <c r="L375">
        <v>0.37</v>
      </c>
      <c r="M375">
        <v>0.35820000000000002</v>
      </c>
      <c r="N375">
        <v>3</v>
      </c>
      <c r="O375">
        <v>8</v>
      </c>
      <c r="P375">
        <v>11</v>
      </c>
    </row>
    <row r="376" spans="1:16" x14ac:dyDescent="0.3">
      <c r="A376">
        <v>994</v>
      </c>
      <c r="B376" s="1">
        <v>40588</v>
      </c>
      <c r="C376">
        <v>1</v>
      </c>
      <c r="D376">
        <v>0</v>
      </c>
      <c r="E376">
        <v>2</v>
      </c>
      <c r="F376">
        <v>1</v>
      </c>
      <c r="G376" t="b">
        <v>0</v>
      </c>
      <c r="H376">
        <v>1</v>
      </c>
      <c r="I376">
        <v>1</v>
      </c>
      <c r="J376">
        <v>0.38</v>
      </c>
      <c r="K376">
        <v>0.39389999999999997</v>
      </c>
      <c r="L376">
        <v>0.37</v>
      </c>
      <c r="M376">
        <v>0.35820000000000002</v>
      </c>
      <c r="N376">
        <v>1</v>
      </c>
      <c r="O376">
        <v>6</v>
      </c>
      <c r="P376">
        <v>7</v>
      </c>
    </row>
    <row r="377" spans="1:16" x14ac:dyDescent="0.3">
      <c r="A377">
        <v>995</v>
      </c>
      <c r="B377" s="1">
        <v>40588</v>
      </c>
      <c r="C377">
        <v>1</v>
      </c>
      <c r="D377">
        <v>0</v>
      </c>
      <c r="E377">
        <v>2</v>
      </c>
      <c r="F377">
        <v>2</v>
      </c>
      <c r="G377" t="b">
        <v>0</v>
      </c>
      <c r="H377">
        <v>1</v>
      </c>
      <c r="I377">
        <v>1</v>
      </c>
      <c r="J377">
        <v>0.36</v>
      </c>
      <c r="K377">
        <v>0.33329999999999999</v>
      </c>
      <c r="L377">
        <v>0.4</v>
      </c>
      <c r="M377">
        <v>0.29849999999999999</v>
      </c>
      <c r="N377">
        <v>0</v>
      </c>
      <c r="O377">
        <v>2</v>
      </c>
      <c r="P377">
        <v>2</v>
      </c>
    </row>
    <row r="378" spans="1:16" x14ac:dyDescent="0.3">
      <c r="A378">
        <v>996</v>
      </c>
      <c r="B378" s="1">
        <v>40588</v>
      </c>
      <c r="C378">
        <v>1</v>
      </c>
      <c r="D378">
        <v>0</v>
      </c>
      <c r="E378">
        <v>2</v>
      </c>
      <c r="F378">
        <v>3</v>
      </c>
      <c r="G378" t="b">
        <v>0</v>
      </c>
      <c r="H378">
        <v>1</v>
      </c>
      <c r="I378">
        <v>1</v>
      </c>
      <c r="J378">
        <v>0.34</v>
      </c>
      <c r="K378">
        <v>0.31819999999999998</v>
      </c>
      <c r="L378">
        <v>0.46</v>
      </c>
      <c r="M378">
        <v>0.22389999999999999</v>
      </c>
      <c r="N378">
        <v>1</v>
      </c>
      <c r="O378">
        <v>1</v>
      </c>
      <c r="P378">
        <v>2</v>
      </c>
    </row>
    <row r="379" spans="1:16" x14ac:dyDescent="0.3">
      <c r="A379">
        <v>997</v>
      </c>
      <c r="B379" s="1">
        <v>40588</v>
      </c>
      <c r="C379">
        <v>1</v>
      </c>
      <c r="D379">
        <v>0</v>
      </c>
      <c r="E379">
        <v>2</v>
      </c>
      <c r="F379">
        <v>4</v>
      </c>
      <c r="G379" t="b">
        <v>0</v>
      </c>
      <c r="H379">
        <v>1</v>
      </c>
      <c r="I379">
        <v>1</v>
      </c>
      <c r="J379">
        <v>0.32</v>
      </c>
      <c r="K379">
        <v>0.30299999999999999</v>
      </c>
      <c r="L379">
        <v>0.53</v>
      </c>
      <c r="M379">
        <v>0.28360000000000002</v>
      </c>
      <c r="N379">
        <v>0</v>
      </c>
      <c r="O379">
        <v>2</v>
      </c>
      <c r="P379">
        <v>2</v>
      </c>
    </row>
    <row r="380" spans="1:16" x14ac:dyDescent="0.3">
      <c r="A380">
        <v>998</v>
      </c>
      <c r="B380" s="1">
        <v>40588</v>
      </c>
      <c r="C380">
        <v>1</v>
      </c>
      <c r="D380">
        <v>0</v>
      </c>
      <c r="E380">
        <v>2</v>
      </c>
      <c r="F380">
        <v>5</v>
      </c>
      <c r="G380" t="b">
        <v>0</v>
      </c>
      <c r="H380">
        <v>1</v>
      </c>
      <c r="I380">
        <v>1</v>
      </c>
      <c r="J380">
        <v>0.32</v>
      </c>
      <c r="K380">
        <v>0.30299999999999999</v>
      </c>
      <c r="L380">
        <v>0.53</v>
      </c>
      <c r="M380">
        <v>0.28360000000000002</v>
      </c>
      <c r="N380">
        <v>0</v>
      </c>
      <c r="O380">
        <v>3</v>
      </c>
      <c r="P380">
        <v>3</v>
      </c>
    </row>
    <row r="381" spans="1:16" x14ac:dyDescent="0.3">
      <c r="A381">
        <v>999</v>
      </c>
      <c r="B381" s="1">
        <v>40588</v>
      </c>
      <c r="C381">
        <v>1</v>
      </c>
      <c r="D381">
        <v>0</v>
      </c>
      <c r="E381">
        <v>2</v>
      </c>
      <c r="F381">
        <v>6</v>
      </c>
      <c r="G381" t="b">
        <v>0</v>
      </c>
      <c r="H381">
        <v>1</v>
      </c>
      <c r="I381">
        <v>1</v>
      </c>
      <c r="J381">
        <v>0.34</v>
      </c>
      <c r="K381">
        <v>0.30299999999999999</v>
      </c>
      <c r="L381">
        <v>0.46</v>
      </c>
      <c r="M381">
        <v>0.29849999999999999</v>
      </c>
      <c r="N381">
        <v>1</v>
      </c>
      <c r="O381">
        <v>25</v>
      </c>
      <c r="P381">
        <v>26</v>
      </c>
    </row>
    <row r="382" spans="1:16" x14ac:dyDescent="0.3">
      <c r="A382">
        <v>1000</v>
      </c>
      <c r="B382" s="1">
        <v>40588</v>
      </c>
      <c r="C382">
        <v>1</v>
      </c>
      <c r="D382">
        <v>0</v>
      </c>
      <c r="E382">
        <v>2</v>
      </c>
      <c r="F382">
        <v>7</v>
      </c>
      <c r="G382" t="b">
        <v>0</v>
      </c>
      <c r="H382">
        <v>1</v>
      </c>
      <c r="I382">
        <v>1</v>
      </c>
      <c r="J382">
        <v>0.34</v>
      </c>
      <c r="K382">
        <v>0.30299999999999999</v>
      </c>
      <c r="L382">
        <v>0.46</v>
      </c>
      <c r="M382">
        <v>0.29849999999999999</v>
      </c>
      <c r="N382">
        <v>2</v>
      </c>
      <c r="O382">
        <v>96</v>
      </c>
      <c r="P382">
        <v>98</v>
      </c>
    </row>
    <row r="383" spans="1:16" x14ac:dyDescent="0.3">
      <c r="A383">
        <v>611</v>
      </c>
      <c r="B383" s="1">
        <v>40571</v>
      </c>
      <c r="C383">
        <v>1</v>
      </c>
      <c r="D383">
        <v>0</v>
      </c>
      <c r="E383">
        <v>1</v>
      </c>
      <c r="F383">
        <v>16</v>
      </c>
      <c r="G383" t="b">
        <v>0</v>
      </c>
      <c r="H383">
        <v>5</v>
      </c>
      <c r="I383">
        <v>1</v>
      </c>
      <c r="J383">
        <v>0.22</v>
      </c>
      <c r="K383">
        <v>0.2727</v>
      </c>
      <c r="L383">
        <v>0.8</v>
      </c>
      <c r="M383">
        <v>0</v>
      </c>
      <c r="N383">
        <v>10</v>
      </c>
      <c r="O383">
        <v>70</v>
      </c>
      <c r="P383">
        <v>80</v>
      </c>
    </row>
    <row r="384" spans="1:16" x14ac:dyDescent="0.3">
      <c r="A384">
        <v>612</v>
      </c>
      <c r="B384" s="1">
        <v>40571</v>
      </c>
      <c r="C384">
        <v>1</v>
      </c>
      <c r="D384">
        <v>0</v>
      </c>
      <c r="E384">
        <v>1</v>
      </c>
      <c r="F384">
        <v>17</v>
      </c>
      <c r="G384" t="b">
        <v>0</v>
      </c>
      <c r="H384">
        <v>5</v>
      </c>
      <c r="I384">
        <v>1</v>
      </c>
      <c r="J384">
        <v>0.24</v>
      </c>
      <c r="K384">
        <v>0.2424</v>
      </c>
      <c r="L384">
        <v>0.75</v>
      </c>
      <c r="M384">
        <v>0.1343</v>
      </c>
      <c r="N384">
        <v>2</v>
      </c>
      <c r="O384">
        <v>147</v>
      </c>
      <c r="P384">
        <v>149</v>
      </c>
    </row>
    <row r="385" spans="1:16" x14ac:dyDescent="0.3">
      <c r="A385">
        <v>613</v>
      </c>
      <c r="B385" s="1">
        <v>40571</v>
      </c>
      <c r="C385">
        <v>1</v>
      </c>
      <c r="D385">
        <v>0</v>
      </c>
      <c r="E385">
        <v>1</v>
      </c>
      <c r="F385">
        <v>18</v>
      </c>
      <c r="G385" t="b">
        <v>0</v>
      </c>
      <c r="H385">
        <v>5</v>
      </c>
      <c r="I385">
        <v>1</v>
      </c>
      <c r="J385">
        <v>0.24</v>
      </c>
      <c r="K385">
        <v>0.2273</v>
      </c>
      <c r="L385">
        <v>0.75</v>
      </c>
      <c r="M385">
        <v>0.19400000000000001</v>
      </c>
      <c r="N385">
        <v>2</v>
      </c>
      <c r="O385">
        <v>107</v>
      </c>
      <c r="P385">
        <v>109</v>
      </c>
    </row>
    <row r="386" spans="1:16" x14ac:dyDescent="0.3">
      <c r="A386">
        <v>614</v>
      </c>
      <c r="B386" s="1">
        <v>40571</v>
      </c>
      <c r="C386">
        <v>1</v>
      </c>
      <c r="D386">
        <v>0</v>
      </c>
      <c r="E386">
        <v>1</v>
      </c>
      <c r="F386">
        <v>19</v>
      </c>
      <c r="G386" t="b">
        <v>0</v>
      </c>
      <c r="H386">
        <v>5</v>
      </c>
      <c r="I386">
        <v>2</v>
      </c>
      <c r="J386">
        <v>0.24</v>
      </c>
      <c r="K386">
        <v>0.2424</v>
      </c>
      <c r="L386">
        <v>0.75</v>
      </c>
      <c r="M386">
        <v>0.1343</v>
      </c>
      <c r="N386">
        <v>5</v>
      </c>
      <c r="O386">
        <v>84</v>
      </c>
      <c r="P386">
        <v>89</v>
      </c>
    </row>
    <row r="387" spans="1:16" x14ac:dyDescent="0.3">
      <c r="A387">
        <v>615</v>
      </c>
      <c r="B387" s="1">
        <v>40571</v>
      </c>
      <c r="C387">
        <v>1</v>
      </c>
      <c r="D387">
        <v>0</v>
      </c>
      <c r="E387">
        <v>1</v>
      </c>
      <c r="F387">
        <v>20</v>
      </c>
      <c r="G387" t="b">
        <v>0</v>
      </c>
      <c r="H387">
        <v>5</v>
      </c>
      <c r="I387">
        <v>2</v>
      </c>
      <c r="J387">
        <v>0.24</v>
      </c>
      <c r="K387">
        <v>0.2273</v>
      </c>
      <c r="L387">
        <v>0.7</v>
      </c>
      <c r="M387">
        <v>0.19400000000000001</v>
      </c>
      <c r="N387">
        <v>1</v>
      </c>
      <c r="O387">
        <v>61</v>
      </c>
      <c r="P387">
        <v>62</v>
      </c>
    </row>
    <row r="388" spans="1:16" x14ac:dyDescent="0.3">
      <c r="A388">
        <v>616</v>
      </c>
      <c r="B388" s="1">
        <v>40571</v>
      </c>
      <c r="C388">
        <v>1</v>
      </c>
      <c r="D388">
        <v>0</v>
      </c>
      <c r="E388">
        <v>1</v>
      </c>
      <c r="F388">
        <v>21</v>
      </c>
      <c r="G388" t="b">
        <v>0</v>
      </c>
      <c r="H388">
        <v>5</v>
      </c>
      <c r="I388">
        <v>2</v>
      </c>
      <c r="J388">
        <v>0.22</v>
      </c>
      <c r="K388">
        <v>0.2273</v>
      </c>
      <c r="L388">
        <v>0.75</v>
      </c>
      <c r="M388">
        <v>0.1343</v>
      </c>
      <c r="N388">
        <v>1</v>
      </c>
      <c r="O388">
        <v>57</v>
      </c>
      <c r="P388">
        <v>58</v>
      </c>
    </row>
    <row r="389" spans="1:16" x14ac:dyDescent="0.3">
      <c r="A389">
        <v>617</v>
      </c>
      <c r="B389" s="1">
        <v>40571</v>
      </c>
      <c r="C389">
        <v>1</v>
      </c>
      <c r="D389">
        <v>0</v>
      </c>
      <c r="E389">
        <v>1</v>
      </c>
      <c r="F389">
        <v>22</v>
      </c>
      <c r="G389" t="b">
        <v>0</v>
      </c>
      <c r="H389">
        <v>5</v>
      </c>
      <c r="I389">
        <v>1</v>
      </c>
      <c r="J389">
        <v>0.24</v>
      </c>
      <c r="K389">
        <v>0.21210000000000001</v>
      </c>
      <c r="L389">
        <v>0.65</v>
      </c>
      <c r="M389">
        <v>0.35820000000000002</v>
      </c>
      <c r="N389">
        <v>0</v>
      </c>
      <c r="O389">
        <v>26</v>
      </c>
      <c r="P389">
        <v>26</v>
      </c>
    </row>
    <row r="390" spans="1:16" x14ac:dyDescent="0.3">
      <c r="A390">
        <v>618</v>
      </c>
      <c r="B390" s="1">
        <v>40571</v>
      </c>
      <c r="C390">
        <v>1</v>
      </c>
      <c r="D390">
        <v>0</v>
      </c>
      <c r="E390">
        <v>1</v>
      </c>
      <c r="F390">
        <v>23</v>
      </c>
      <c r="G390" t="b">
        <v>0</v>
      </c>
      <c r="H390">
        <v>5</v>
      </c>
      <c r="I390">
        <v>1</v>
      </c>
      <c r="J390">
        <v>0.24</v>
      </c>
      <c r="K390">
        <v>0.2273</v>
      </c>
      <c r="L390">
        <v>0.6</v>
      </c>
      <c r="M390">
        <v>0.22389999999999999</v>
      </c>
      <c r="N390">
        <v>1</v>
      </c>
      <c r="O390">
        <v>22</v>
      </c>
      <c r="P390">
        <v>23</v>
      </c>
    </row>
    <row r="391" spans="1:16" x14ac:dyDescent="0.3">
      <c r="A391">
        <v>619</v>
      </c>
      <c r="B391" s="1">
        <v>40572</v>
      </c>
      <c r="C391">
        <v>1</v>
      </c>
      <c r="D391">
        <v>0</v>
      </c>
      <c r="E391">
        <v>1</v>
      </c>
      <c r="F391">
        <v>0</v>
      </c>
      <c r="G391" t="b">
        <v>0</v>
      </c>
      <c r="H391">
        <v>6</v>
      </c>
      <c r="I391">
        <v>1</v>
      </c>
      <c r="J391">
        <v>0.22</v>
      </c>
      <c r="K391">
        <v>0.19700000000000001</v>
      </c>
      <c r="L391">
        <v>0.64</v>
      </c>
      <c r="M391">
        <v>0.35820000000000002</v>
      </c>
      <c r="N391">
        <v>2</v>
      </c>
      <c r="O391">
        <v>26</v>
      </c>
      <c r="P391">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105FB-C902-4807-BC32-CEFA86298BBE}">
  <dimension ref="A1:H611"/>
  <sheetViews>
    <sheetView workbookViewId="0"/>
  </sheetViews>
  <sheetFormatPr defaultRowHeight="14.4" x14ac:dyDescent="0.3"/>
  <cols>
    <col min="1" max="1" width="13.5546875" bestFit="1" customWidth="1"/>
    <col min="2" max="2" width="9" bestFit="1" customWidth="1"/>
    <col min="3" max="3" width="8.6640625" bestFit="1" customWidth="1"/>
    <col min="4" max="4" width="7.109375" bestFit="1" customWidth="1"/>
    <col min="5" max="5" width="12.33203125" bestFit="1" customWidth="1"/>
    <col min="6" max="6" width="8.44140625" bestFit="1" customWidth="1"/>
    <col min="7" max="7" width="11.5546875" bestFit="1" customWidth="1"/>
    <col min="8" max="8" width="5.88671875" bestFit="1" customWidth="1"/>
  </cols>
  <sheetData>
    <row r="1" spans="1:8" x14ac:dyDescent="0.3">
      <c r="A1" t="s">
        <v>10</v>
      </c>
      <c r="B1" t="s">
        <v>0</v>
      </c>
      <c r="C1" t="s">
        <v>11</v>
      </c>
      <c r="D1" t="s">
        <v>12</v>
      </c>
      <c r="E1" t="s">
        <v>13</v>
      </c>
      <c r="F1" t="s">
        <v>14</v>
      </c>
      <c r="G1" t="s">
        <v>15</v>
      </c>
      <c r="H1" t="s">
        <v>16</v>
      </c>
    </row>
    <row r="2" spans="1:8" x14ac:dyDescent="0.3">
      <c r="A2">
        <v>0</v>
      </c>
      <c r="B2">
        <v>1</v>
      </c>
      <c r="C2">
        <v>0.28789999999999999</v>
      </c>
      <c r="D2">
        <v>0.81</v>
      </c>
      <c r="E2">
        <v>0</v>
      </c>
      <c r="F2">
        <v>3</v>
      </c>
      <c r="G2">
        <v>13</v>
      </c>
      <c r="H2">
        <v>16</v>
      </c>
    </row>
    <row r="3" spans="1:8" x14ac:dyDescent="0.3">
      <c r="A3">
        <v>1</v>
      </c>
      <c r="B3">
        <v>2</v>
      </c>
      <c r="C3">
        <v>0.2727</v>
      </c>
      <c r="D3">
        <v>0.8</v>
      </c>
      <c r="E3">
        <v>0</v>
      </c>
      <c r="F3">
        <v>8</v>
      </c>
      <c r="G3">
        <v>32</v>
      </c>
      <c r="H3">
        <v>40</v>
      </c>
    </row>
    <row r="4" spans="1:8" x14ac:dyDescent="0.3">
      <c r="A4">
        <v>2</v>
      </c>
      <c r="B4">
        <v>3</v>
      </c>
      <c r="C4">
        <v>0.2727</v>
      </c>
      <c r="D4">
        <v>0.8</v>
      </c>
      <c r="E4">
        <v>0</v>
      </c>
      <c r="F4">
        <v>5</v>
      </c>
      <c r="G4">
        <v>27</v>
      </c>
      <c r="H4">
        <v>32</v>
      </c>
    </row>
    <row r="5" spans="1:8" x14ac:dyDescent="0.3">
      <c r="A5">
        <v>3</v>
      </c>
      <c r="B5">
        <v>4</v>
      </c>
      <c r="C5">
        <v>0.28789999999999999</v>
      </c>
      <c r="D5">
        <v>0.75</v>
      </c>
      <c r="E5">
        <v>0</v>
      </c>
      <c r="F5">
        <v>3</v>
      </c>
      <c r="G5">
        <v>10</v>
      </c>
      <c r="H5">
        <v>13</v>
      </c>
    </row>
    <row r="6" spans="1:8" x14ac:dyDescent="0.3">
      <c r="A6">
        <v>4</v>
      </c>
      <c r="B6">
        <v>5</v>
      </c>
      <c r="C6">
        <v>0.28789999999999999</v>
      </c>
      <c r="D6">
        <v>0.75</v>
      </c>
      <c r="E6">
        <v>0</v>
      </c>
      <c r="F6">
        <v>0</v>
      </c>
      <c r="G6">
        <v>1</v>
      </c>
      <c r="H6">
        <v>1</v>
      </c>
    </row>
    <row r="7" spans="1:8" x14ac:dyDescent="0.3">
      <c r="A7">
        <v>5</v>
      </c>
      <c r="B7">
        <v>6</v>
      </c>
      <c r="C7">
        <v>0.2576</v>
      </c>
      <c r="D7">
        <v>0.75</v>
      </c>
      <c r="E7">
        <v>8.9599999999999999E-2</v>
      </c>
      <c r="F7">
        <v>0</v>
      </c>
      <c r="G7">
        <v>1</v>
      </c>
      <c r="H7">
        <v>1</v>
      </c>
    </row>
    <row r="8" spans="1:8" x14ac:dyDescent="0.3">
      <c r="A8">
        <v>6</v>
      </c>
      <c r="B8">
        <v>7</v>
      </c>
      <c r="C8">
        <v>0.2727</v>
      </c>
      <c r="D8">
        <v>0.8</v>
      </c>
      <c r="E8">
        <v>0</v>
      </c>
      <c r="F8">
        <v>2</v>
      </c>
      <c r="G8">
        <v>0</v>
      </c>
      <c r="H8">
        <v>2</v>
      </c>
    </row>
    <row r="9" spans="1:8" x14ac:dyDescent="0.3">
      <c r="A9">
        <v>7</v>
      </c>
      <c r="B9">
        <v>8</v>
      </c>
      <c r="C9">
        <v>0.2576</v>
      </c>
      <c r="D9">
        <v>0.86</v>
      </c>
      <c r="E9">
        <v>0</v>
      </c>
      <c r="F9">
        <v>1</v>
      </c>
      <c r="G9">
        <v>2</v>
      </c>
      <c r="H9">
        <v>3</v>
      </c>
    </row>
    <row r="10" spans="1:8" x14ac:dyDescent="0.3">
      <c r="A10">
        <v>8</v>
      </c>
      <c r="B10">
        <v>9</v>
      </c>
      <c r="D10">
        <v>0.75</v>
      </c>
      <c r="E10">
        <v>0</v>
      </c>
      <c r="F10">
        <v>1</v>
      </c>
      <c r="G10">
        <v>7</v>
      </c>
      <c r="H10">
        <v>8</v>
      </c>
    </row>
    <row r="11" spans="1:8" x14ac:dyDescent="0.3">
      <c r="A11">
        <v>9</v>
      </c>
      <c r="B11">
        <v>10</v>
      </c>
      <c r="C11">
        <v>0.34849999999999998</v>
      </c>
      <c r="D11">
        <v>0.76</v>
      </c>
      <c r="E11">
        <v>0</v>
      </c>
      <c r="F11">
        <v>8</v>
      </c>
      <c r="G11">
        <v>6</v>
      </c>
      <c r="H11">
        <v>14</v>
      </c>
    </row>
    <row r="12" spans="1:8" x14ac:dyDescent="0.3">
      <c r="A12">
        <v>10</v>
      </c>
      <c r="B12">
        <v>11</v>
      </c>
      <c r="C12">
        <v>0.39389999999999997</v>
      </c>
      <c r="D12">
        <v>0.76</v>
      </c>
      <c r="E12">
        <v>0.25369999999999998</v>
      </c>
      <c r="F12">
        <v>12</v>
      </c>
      <c r="G12">
        <v>24</v>
      </c>
      <c r="H12">
        <v>36</v>
      </c>
    </row>
    <row r="13" spans="1:8" x14ac:dyDescent="0.3">
      <c r="A13">
        <v>11</v>
      </c>
      <c r="B13">
        <v>12</v>
      </c>
      <c r="C13">
        <v>0.33329999999999999</v>
      </c>
      <c r="D13">
        <v>0.81</v>
      </c>
      <c r="E13">
        <v>0.28360000000000002</v>
      </c>
      <c r="F13">
        <v>26</v>
      </c>
      <c r="G13">
        <v>30</v>
      </c>
      <c r="H13">
        <v>56</v>
      </c>
    </row>
    <row r="14" spans="1:8" x14ac:dyDescent="0.3">
      <c r="A14">
        <v>12</v>
      </c>
      <c r="B14">
        <v>13</v>
      </c>
      <c r="C14">
        <v>0.42420000000000002</v>
      </c>
      <c r="D14">
        <v>0.77</v>
      </c>
      <c r="E14">
        <v>0.28360000000000002</v>
      </c>
      <c r="F14">
        <v>29</v>
      </c>
      <c r="G14">
        <v>55</v>
      </c>
      <c r="H14">
        <v>84</v>
      </c>
    </row>
    <row r="15" spans="1:8" x14ac:dyDescent="0.3">
      <c r="A15">
        <v>13</v>
      </c>
      <c r="B15">
        <v>14</v>
      </c>
      <c r="C15">
        <v>0.45450000000000002</v>
      </c>
      <c r="D15">
        <v>0.72</v>
      </c>
      <c r="E15">
        <v>0.29849999999999999</v>
      </c>
      <c r="F15">
        <v>47</v>
      </c>
      <c r="G15">
        <v>47</v>
      </c>
      <c r="H15">
        <v>94</v>
      </c>
    </row>
    <row r="16" spans="1:8" x14ac:dyDescent="0.3">
      <c r="A16">
        <v>14</v>
      </c>
      <c r="B16">
        <v>15</v>
      </c>
      <c r="C16">
        <v>0.45450000000000002</v>
      </c>
      <c r="D16">
        <v>0.72</v>
      </c>
      <c r="E16">
        <v>0.28360000000000002</v>
      </c>
      <c r="F16">
        <v>35</v>
      </c>
      <c r="G16">
        <v>71</v>
      </c>
      <c r="H16">
        <v>106</v>
      </c>
    </row>
    <row r="17" spans="1:8" x14ac:dyDescent="0.3">
      <c r="A17">
        <v>15</v>
      </c>
      <c r="B17">
        <v>16</v>
      </c>
      <c r="C17">
        <v>0.43940000000000001</v>
      </c>
      <c r="D17">
        <v>0.77</v>
      </c>
      <c r="E17">
        <v>0.29849999999999999</v>
      </c>
      <c r="F17">
        <v>40</v>
      </c>
      <c r="G17">
        <v>70</v>
      </c>
      <c r="H17">
        <v>110</v>
      </c>
    </row>
    <row r="18" spans="1:8" x14ac:dyDescent="0.3">
      <c r="A18">
        <v>16</v>
      </c>
      <c r="B18">
        <v>17</v>
      </c>
      <c r="C18">
        <v>0.42420000000000002</v>
      </c>
      <c r="D18">
        <v>0.82</v>
      </c>
      <c r="E18">
        <v>0.29849999999999999</v>
      </c>
      <c r="F18">
        <v>41</v>
      </c>
      <c r="G18">
        <v>52</v>
      </c>
      <c r="H18">
        <v>93</v>
      </c>
    </row>
    <row r="19" spans="1:8" x14ac:dyDescent="0.3">
      <c r="A19">
        <v>17</v>
      </c>
      <c r="B19">
        <v>18</v>
      </c>
      <c r="D19">
        <v>0.82</v>
      </c>
      <c r="E19">
        <v>0.28360000000000002</v>
      </c>
      <c r="F19">
        <v>15</v>
      </c>
      <c r="G19">
        <v>52</v>
      </c>
      <c r="H19">
        <v>67</v>
      </c>
    </row>
    <row r="20" spans="1:8" x14ac:dyDescent="0.3">
      <c r="A20">
        <v>18</v>
      </c>
      <c r="B20">
        <v>19</v>
      </c>
      <c r="C20">
        <v>0.42420000000000002</v>
      </c>
      <c r="D20">
        <v>0.88</v>
      </c>
      <c r="E20">
        <v>0.25369999999999998</v>
      </c>
      <c r="F20">
        <v>9</v>
      </c>
      <c r="G20">
        <v>26</v>
      </c>
      <c r="H20">
        <v>35</v>
      </c>
    </row>
    <row r="21" spans="1:8" x14ac:dyDescent="0.3">
      <c r="A21">
        <v>19</v>
      </c>
      <c r="B21">
        <v>20</v>
      </c>
      <c r="C21">
        <v>0.42420000000000002</v>
      </c>
      <c r="D21">
        <v>0.88</v>
      </c>
      <c r="E21">
        <v>0.25369999999999998</v>
      </c>
      <c r="F21">
        <v>6</v>
      </c>
      <c r="G21">
        <v>31</v>
      </c>
      <c r="H21">
        <v>37</v>
      </c>
    </row>
    <row r="22" spans="1:8" x14ac:dyDescent="0.3">
      <c r="A22">
        <v>20</v>
      </c>
      <c r="B22">
        <v>21</v>
      </c>
      <c r="C22">
        <v>0.40910000000000002</v>
      </c>
      <c r="D22">
        <v>0.87</v>
      </c>
      <c r="E22">
        <v>0.25369999999999998</v>
      </c>
      <c r="F22">
        <v>11</v>
      </c>
      <c r="G22">
        <v>25</v>
      </c>
      <c r="H22">
        <v>36</v>
      </c>
    </row>
    <row r="23" spans="1:8" x14ac:dyDescent="0.3">
      <c r="A23">
        <v>21</v>
      </c>
      <c r="B23">
        <v>22</v>
      </c>
      <c r="C23">
        <v>0.40910000000000002</v>
      </c>
      <c r="D23">
        <v>0.87</v>
      </c>
      <c r="E23">
        <v>0.19400000000000001</v>
      </c>
      <c r="F23">
        <v>3</v>
      </c>
      <c r="G23">
        <v>31</v>
      </c>
      <c r="H23">
        <v>34</v>
      </c>
    </row>
    <row r="24" spans="1:8" x14ac:dyDescent="0.3">
      <c r="A24">
        <v>22</v>
      </c>
      <c r="B24">
        <v>23</v>
      </c>
      <c r="C24">
        <v>0.40910000000000002</v>
      </c>
      <c r="D24">
        <v>0.94</v>
      </c>
      <c r="E24">
        <v>0.22389999999999999</v>
      </c>
      <c r="F24">
        <v>11</v>
      </c>
      <c r="G24">
        <v>17</v>
      </c>
      <c r="H24">
        <v>28</v>
      </c>
    </row>
    <row r="25" spans="1:8" x14ac:dyDescent="0.3">
      <c r="A25">
        <v>23</v>
      </c>
      <c r="B25">
        <v>24</v>
      </c>
      <c r="D25">
        <v>0.88</v>
      </c>
      <c r="E25">
        <v>0.29849999999999999</v>
      </c>
      <c r="F25">
        <v>15</v>
      </c>
      <c r="G25">
        <v>24</v>
      </c>
      <c r="H25">
        <v>39</v>
      </c>
    </row>
    <row r="26" spans="1:8" x14ac:dyDescent="0.3">
      <c r="A26">
        <v>24</v>
      </c>
      <c r="B26">
        <v>25</v>
      </c>
      <c r="C26">
        <v>0.45450000000000002</v>
      </c>
      <c r="D26">
        <v>0.88</v>
      </c>
      <c r="E26">
        <v>0.29849999999999999</v>
      </c>
      <c r="F26">
        <v>4</v>
      </c>
      <c r="G26">
        <v>13</v>
      </c>
      <c r="H26">
        <v>17</v>
      </c>
    </row>
    <row r="27" spans="1:8" x14ac:dyDescent="0.3">
      <c r="A27">
        <v>25</v>
      </c>
      <c r="B27">
        <v>26</v>
      </c>
      <c r="C27">
        <v>0.43940000000000001</v>
      </c>
      <c r="D27">
        <v>0.94</v>
      </c>
      <c r="E27">
        <v>0.25369999999999998</v>
      </c>
      <c r="F27">
        <v>1</v>
      </c>
      <c r="G27">
        <v>16</v>
      </c>
      <c r="H27">
        <v>17</v>
      </c>
    </row>
    <row r="28" spans="1:8" x14ac:dyDescent="0.3">
      <c r="A28">
        <v>26</v>
      </c>
      <c r="B28">
        <v>27</v>
      </c>
      <c r="C28">
        <v>0.42420000000000002</v>
      </c>
      <c r="D28">
        <v>1</v>
      </c>
      <c r="E28">
        <v>0.28360000000000002</v>
      </c>
      <c r="F28">
        <v>1</v>
      </c>
      <c r="G28">
        <v>8</v>
      </c>
      <c r="H28">
        <v>9</v>
      </c>
    </row>
    <row r="29" spans="1:8" x14ac:dyDescent="0.3">
      <c r="A29">
        <v>27</v>
      </c>
      <c r="B29">
        <v>28</v>
      </c>
      <c r="C29">
        <v>0.45450000000000002</v>
      </c>
      <c r="D29">
        <v>0.94</v>
      </c>
      <c r="E29">
        <v>0.19400000000000001</v>
      </c>
      <c r="F29">
        <v>2</v>
      </c>
      <c r="G29">
        <v>4</v>
      </c>
      <c r="H29">
        <v>6</v>
      </c>
    </row>
    <row r="30" spans="1:8" x14ac:dyDescent="0.3">
      <c r="A30">
        <v>28</v>
      </c>
      <c r="B30">
        <v>29</v>
      </c>
      <c r="D30">
        <v>0.94</v>
      </c>
      <c r="E30">
        <v>0.19400000000000001</v>
      </c>
      <c r="F30">
        <v>2</v>
      </c>
      <c r="G30">
        <v>1</v>
      </c>
      <c r="H30">
        <v>3</v>
      </c>
    </row>
    <row r="31" spans="1:8" x14ac:dyDescent="0.3">
      <c r="A31">
        <v>29</v>
      </c>
      <c r="B31">
        <v>30</v>
      </c>
      <c r="C31">
        <v>0.42420000000000002</v>
      </c>
      <c r="D31">
        <v>0.77</v>
      </c>
      <c r="E31">
        <v>0.29849999999999999</v>
      </c>
      <c r="F31">
        <v>0</v>
      </c>
      <c r="G31">
        <v>2</v>
      </c>
      <c r="H31">
        <v>2</v>
      </c>
    </row>
    <row r="32" spans="1:8" x14ac:dyDescent="0.3">
      <c r="A32">
        <v>30</v>
      </c>
      <c r="B32">
        <v>31</v>
      </c>
      <c r="C32">
        <v>0.40910000000000002</v>
      </c>
      <c r="D32">
        <v>0.76</v>
      </c>
      <c r="E32">
        <v>0.19400000000000001</v>
      </c>
      <c r="F32">
        <v>0</v>
      </c>
      <c r="G32">
        <v>1</v>
      </c>
      <c r="H32">
        <v>1</v>
      </c>
    </row>
    <row r="33" spans="1:8" x14ac:dyDescent="0.3">
      <c r="A33">
        <v>31</v>
      </c>
      <c r="B33">
        <v>32</v>
      </c>
      <c r="C33">
        <v>0.40910000000000002</v>
      </c>
      <c r="D33">
        <v>0.71</v>
      </c>
      <c r="E33">
        <v>0.22389999999999999</v>
      </c>
      <c r="F33">
        <v>0</v>
      </c>
      <c r="G33">
        <v>8</v>
      </c>
      <c r="H33">
        <v>8</v>
      </c>
    </row>
    <row r="34" spans="1:8" x14ac:dyDescent="0.3">
      <c r="A34">
        <v>32</v>
      </c>
      <c r="B34">
        <v>33</v>
      </c>
      <c r="D34">
        <v>0.76</v>
      </c>
      <c r="E34">
        <v>0.22389999999999999</v>
      </c>
      <c r="F34">
        <v>1</v>
      </c>
      <c r="G34">
        <v>19</v>
      </c>
      <c r="H34">
        <v>20</v>
      </c>
    </row>
    <row r="35" spans="1:8" x14ac:dyDescent="0.3">
      <c r="A35">
        <v>33</v>
      </c>
      <c r="B35">
        <v>34</v>
      </c>
      <c r="C35">
        <v>0.34849999999999998</v>
      </c>
      <c r="D35">
        <v>0.81</v>
      </c>
      <c r="E35">
        <v>0.22389999999999999</v>
      </c>
      <c r="F35">
        <v>7</v>
      </c>
      <c r="G35">
        <v>46</v>
      </c>
      <c r="H35">
        <v>53</v>
      </c>
    </row>
    <row r="36" spans="1:8" x14ac:dyDescent="0.3">
      <c r="A36">
        <v>34</v>
      </c>
      <c r="B36">
        <v>35</v>
      </c>
      <c r="C36">
        <v>0.33329999999999999</v>
      </c>
      <c r="D36">
        <v>0.71</v>
      </c>
      <c r="E36">
        <v>0.25369999999999998</v>
      </c>
      <c r="F36">
        <v>16</v>
      </c>
      <c r="G36">
        <v>54</v>
      </c>
      <c r="H36">
        <v>70</v>
      </c>
    </row>
    <row r="37" spans="1:8" x14ac:dyDescent="0.3">
      <c r="A37">
        <v>35</v>
      </c>
      <c r="B37">
        <v>36</v>
      </c>
      <c r="C37">
        <v>0.33329999999999999</v>
      </c>
      <c r="D37">
        <v>0.66</v>
      </c>
      <c r="E37">
        <v>0.29849999999999999</v>
      </c>
      <c r="F37">
        <v>20</v>
      </c>
      <c r="G37">
        <v>73</v>
      </c>
      <c r="H37">
        <v>93</v>
      </c>
    </row>
    <row r="38" spans="1:8" x14ac:dyDescent="0.3">
      <c r="A38">
        <v>36</v>
      </c>
      <c r="B38">
        <v>37</v>
      </c>
      <c r="C38">
        <v>0.34849999999999998</v>
      </c>
      <c r="D38">
        <v>0.66</v>
      </c>
      <c r="E38">
        <v>0.1343</v>
      </c>
      <c r="F38">
        <v>11</v>
      </c>
      <c r="G38">
        <v>64</v>
      </c>
      <c r="H38">
        <v>75</v>
      </c>
    </row>
    <row r="39" spans="1:8" x14ac:dyDescent="0.3">
      <c r="A39">
        <v>37</v>
      </c>
      <c r="B39">
        <v>38</v>
      </c>
      <c r="D39">
        <v>0.76</v>
      </c>
      <c r="E39">
        <v>0.19400000000000001</v>
      </c>
      <c r="F39">
        <v>4</v>
      </c>
      <c r="G39">
        <v>55</v>
      </c>
      <c r="H39">
        <v>59</v>
      </c>
    </row>
    <row r="40" spans="1:8" x14ac:dyDescent="0.3">
      <c r="A40">
        <v>38</v>
      </c>
      <c r="B40">
        <v>39</v>
      </c>
      <c r="C40">
        <v>0.33329999999999999</v>
      </c>
      <c r="D40">
        <v>0.81</v>
      </c>
      <c r="E40">
        <v>0.16420000000000001</v>
      </c>
      <c r="F40">
        <v>19</v>
      </c>
      <c r="G40">
        <v>55</v>
      </c>
      <c r="H40">
        <v>74</v>
      </c>
    </row>
    <row r="41" spans="1:8" x14ac:dyDescent="0.3">
      <c r="A41">
        <v>39</v>
      </c>
      <c r="B41">
        <v>40</v>
      </c>
      <c r="C41">
        <v>0.33329999999999999</v>
      </c>
      <c r="D41">
        <v>0.71</v>
      </c>
      <c r="E41">
        <v>0.16420000000000001</v>
      </c>
      <c r="F41">
        <v>9</v>
      </c>
      <c r="G41">
        <v>67</v>
      </c>
      <c r="H41">
        <v>76</v>
      </c>
    </row>
    <row r="42" spans="1:8" x14ac:dyDescent="0.3">
      <c r="A42">
        <v>40</v>
      </c>
      <c r="B42">
        <v>41</v>
      </c>
      <c r="C42">
        <v>0.33329999999999999</v>
      </c>
      <c r="D42">
        <v>0.56999999999999995</v>
      </c>
      <c r="E42">
        <v>0.19400000000000001</v>
      </c>
      <c r="F42">
        <v>7</v>
      </c>
      <c r="G42">
        <v>58</v>
      </c>
      <c r="H42">
        <v>65</v>
      </c>
    </row>
    <row r="43" spans="1:8" x14ac:dyDescent="0.3">
      <c r="A43">
        <v>41</v>
      </c>
      <c r="B43">
        <v>42</v>
      </c>
      <c r="C43">
        <v>0.33329999999999999</v>
      </c>
      <c r="D43">
        <v>0.46</v>
      </c>
      <c r="E43">
        <v>0.32840000000000003</v>
      </c>
      <c r="F43">
        <v>10</v>
      </c>
      <c r="G43">
        <v>43</v>
      </c>
      <c r="H43">
        <v>53</v>
      </c>
    </row>
    <row r="44" spans="1:8" x14ac:dyDescent="0.3">
      <c r="A44">
        <v>42</v>
      </c>
      <c r="B44">
        <v>43</v>
      </c>
      <c r="C44">
        <v>0.28789999999999999</v>
      </c>
      <c r="D44">
        <v>0.42</v>
      </c>
      <c r="E44">
        <v>0.44779999999999998</v>
      </c>
      <c r="F44">
        <v>1</v>
      </c>
      <c r="G44">
        <v>29</v>
      </c>
      <c r="H44">
        <v>30</v>
      </c>
    </row>
    <row r="45" spans="1:8" x14ac:dyDescent="0.3">
      <c r="A45">
        <v>43</v>
      </c>
      <c r="B45">
        <v>44</v>
      </c>
      <c r="D45">
        <v>0.39</v>
      </c>
      <c r="E45">
        <v>0.35820000000000002</v>
      </c>
      <c r="F45">
        <v>5</v>
      </c>
      <c r="G45">
        <v>17</v>
      </c>
      <c r="H45">
        <v>22</v>
      </c>
    </row>
    <row r="46" spans="1:8" x14ac:dyDescent="0.3">
      <c r="A46">
        <v>44</v>
      </c>
      <c r="B46">
        <v>45</v>
      </c>
      <c r="C46">
        <v>0.2273</v>
      </c>
      <c r="D46">
        <v>0.44</v>
      </c>
      <c r="E46">
        <v>0.32840000000000003</v>
      </c>
      <c r="F46">
        <v>11</v>
      </c>
      <c r="G46">
        <v>20</v>
      </c>
      <c r="H46">
        <v>31</v>
      </c>
    </row>
    <row r="47" spans="1:8" x14ac:dyDescent="0.3">
      <c r="A47">
        <v>45</v>
      </c>
      <c r="B47">
        <v>46</v>
      </c>
      <c r="C47">
        <v>0.21210000000000001</v>
      </c>
      <c r="D47">
        <v>0.44</v>
      </c>
      <c r="E47">
        <v>0.29849999999999999</v>
      </c>
      <c r="F47">
        <v>0</v>
      </c>
      <c r="G47">
        <v>9</v>
      </c>
      <c r="H47">
        <v>9</v>
      </c>
    </row>
    <row r="48" spans="1:8" x14ac:dyDescent="0.3">
      <c r="A48">
        <v>46</v>
      </c>
      <c r="B48">
        <v>47</v>
      </c>
      <c r="C48">
        <v>0.2273</v>
      </c>
      <c r="D48">
        <v>0.47</v>
      </c>
      <c r="E48">
        <v>0.16420000000000001</v>
      </c>
      <c r="F48">
        <v>0</v>
      </c>
      <c r="G48">
        <v>8</v>
      </c>
      <c r="H48">
        <v>8</v>
      </c>
    </row>
    <row r="49" spans="1:8" x14ac:dyDescent="0.3">
      <c r="A49">
        <v>47</v>
      </c>
      <c r="B49">
        <v>48</v>
      </c>
      <c r="C49">
        <v>0.19700000000000001</v>
      </c>
      <c r="D49">
        <v>0.44</v>
      </c>
      <c r="E49">
        <v>0.35820000000000002</v>
      </c>
      <c r="F49">
        <v>0</v>
      </c>
      <c r="G49">
        <v>5</v>
      </c>
      <c r="H49">
        <v>5</v>
      </c>
    </row>
    <row r="50" spans="1:8" x14ac:dyDescent="0.3">
      <c r="A50">
        <v>48</v>
      </c>
      <c r="B50">
        <v>49</v>
      </c>
      <c r="D50">
        <v>0.44</v>
      </c>
      <c r="E50">
        <v>0.41789999999999999</v>
      </c>
      <c r="F50">
        <v>0</v>
      </c>
      <c r="G50">
        <v>2</v>
      </c>
      <c r="H50">
        <v>2</v>
      </c>
    </row>
    <row r="51" spans="1:8" x14ac:dyDescent="0.3">
      <c r="A51">
        <v>49</v>
      </c>
      <c r="B51">
        <v>50</v>
      </c>
      <c r="C51">
        <v>0.13639999999999999</v>
      </c>
      <c r="D51">
        <v>0.47</v>
      </c>
      <c r="E51">
        <v>0.3881</v>
      </c>
      <c r="F51">
        <v>0</v>
      </c>
      <c r="G51">
        <v>1</v>
      </c>
      <c r="H51">
        <v>1</v>
      </c>
    </row>
    <row r="52" spans="1:8" x14ac:dyDescent="0.3">
      <c r="A52">
        <v>50</v>
      </c>
      <c r="B52">
        <v>51</v>
      </c>
      <c r="C52">
        <v>0.13639999999999999</v>
      </c>
      <c r="D52">
        <v>0.47</v>
      </c>
      <c r="E52">
        <v>0.28360000000000002</v>
      </c>
      <c r="F52">
        <v>0</v>
      </c>
      <c r="G52">
        <v>3</v>
      </c>
      <c r="H52">
        <v>3</v>
      </c>
    </row>
    <row r="53" spans="1:8" x14ac:dyDescent="0.3">
      <c r="A53">
        <v>51</v>
      </c>
      <c r="B53">
        <v>52</v>
      </c>
      <c r="C53">
        <v>0.1061</v>
      </c>
      <c r="D53">
        <v>0.5</v>
      </c>
      <c r="E53">
        <v>0.3881</v>
      </c>
      <c r="F53">
        <v>0</v>
      </c>
      <c r="G53">
        <v>30</v>
      </c>
      <c r="H53">
        <v>30</v>
      </c>
    </row>
    <row r="54" spans="1:8" x14ac:dyDescent="0.3">
      <c r="A54">
        <v>52</v>
      </c>
      <c r="B54">
        <v>53</v>
      </c>
      <c r="C54">
        <v>0.13639999999999999</v>
      </c>
      <c r="D54">
        <v>0.5</v>
      </c>
      <c r="E54">
        <v>0.19400000000000001</v>
      </c>
      <c r="F54">
        <v>1</v>
      </c>
      <c r="G54">
        <v>63</v>
      </c>
      <c r="H54">
        <v>64</v>
      </c>
    </row>
    <row r="55" spans="1:8" x14ac:dyDescent="0.3">
      <c r="A55">
        <v>53</v>
      </c>
      <c r="B55">
        <v>54</v>
      </c>
      <c r="C55">
        <v>0.1212</v>
      </c>
      <c r="D55">
        <v>0.5</v>
      </c>
      <c r="E55">
        <v>0.28360000000000002</v>
      </c>
      <c r="F55">
        <v>1</v>
      </c>
      <c r="G55">
        <v>153</v>
      </c>
      <c r="H55">
        <v>154</v>
      </c>
    </row>
    <row r="56" spans="1:8" x14ac:dyDescent="0.3">
      <c r="A56">
        <v>54</v>
      </c>
      <c r="B56">
        <v>55</v>
      </c>
      <c r="C56">
        <v>0.13639999999999999</v>
      </c>
      <c r="D56">
        <v>0.43</v>
      </c>
      <c r="E56">
        <v>0.3881</v>
      </c>
      <c r="F56">
        <v>7</v>
      </c>
      <c r="G56">
        <v>81</v>
      </c>
      <c r="H56">
        <v>88</v>
      </c>
    </row>
    <row r="57" spans="1:8" x14ac:dyDescent="0.3">
      <c r="A57">
        <v>55</v>
      </c>
      <c r="B57">
        <v>56</v>
      </c>
      <c r="C57">
        <v>0.16669999999999999</v>
      </c>
      <c r="D57">
        <v>0.43</v>
      </c>
      <c r="E57">
        <v>0.25369999999999998</v>
      </c>
      <c r="F57">
        <v>11</v>
      </c>
      <c r="G57">
        <v>33</v>
      </c>
      <c r="H57">
        <v>44</v>
      </c>
    </row>
    <row r="58" spans="1:8" x14ac:dyDescent="0.3">
      <c r="A58">
        <v>56</v>
      </c>
      <c r="B58">
        <v>57</v>
      </c>
      <c r="C58">
        <v>0.18179999999999999</v>
      </c>
      <c r="D58">
        <v>0.4</v>
      </c>
      <c r="E58">
        <v>0.32840000000000003</v>
      </c>
      <c r="F58">
        <v>10</v>
      </c>
      <c r="G58">
        <v>41</v>
      </c>
      <c r="H58">
        <v>51</v>
      </c>
    </row>
    <row r="59" spans="1:8" x14ac:dyDescent="0.3">
      <c r="A59">
        <v>57</v>
      </c>
      <c r="B59">
        <v>58</v>
      </c>
      <c r="C59">
        <v>0.21210000000000001</v>
      </c>
      <c r="D59">
        <v>0.35</v>
      </c>
      <c r="E59">
        <v>0.29849999999999999</v>
      </c>
      <c r="F59">
        <v>13</v>
      </c>
      <c r="G59">
        <v>48</v>
      </c>
      <c r="H59">
        <v>61</v>
      </c>
    </row>
    <row r="60" spans="1:8" x14ac:dyDescent="0.3">
      <c r="A60">
        <v>58</v>
      </c>
      <c r="B60">
        <v>59</v>
      </c>
      <c r="D60">
        <v>0.35</v>
      </c>
      <c r="E60">
        <v>0.28360000000000002</v>
      </c>
      <c r="F60">
        <v>8</v>
      </c>
      <c r="G60">
        <v>53</v>
      </c>
      <c r="H60">
        <v>61</v>
      </c>
    </row>
    <row r="61" spans="1:8" x14ac:dyDescent="0.3">
      <c r="A61">
        <v>59</v>
      </c>
      <c r="B61">
        <v>60</v>
      </c>
      <c r="C61">
        <v>0.2424</v>
      </c>
      <c r="D61">
        <v>0.3</v>
      </c>
      <c r="E61">
        <v>0.28360000000000002</v>
      </c>
      <c r="F61">
        <v>11</v>
      </c>
      <c r="G61">
        <v>66</v>
      </c>
      <c r="H61">
        <v>77</v>
      </c>
    </row>
    <row r="62" spans="1:8" x14ac:dyDescent="0.3">
      <c r="A62">
        <v>60</v>
      </c>
      <c r="B62">
        <v>61</v>
      </c>
      <c r="C62">
        <v>0.2424</v>
      </c>
      <c r="D62">
        <v>0.3</v>
      </c>
      <c r="E62">
        <v>0.25369999999999998</v>
      </c>
      <c r="F62">
        <v>14</v>
      </c>
      <c r="G62">
        <v>58</v>
      </c>
      <c r="H62">
        <v>72</v>
      </c>
    </row>
    <row r="63" spans="1:8" x14ac:dyDescent="0.3">
      <c r="A63">
        <v>61</v>
      </c>
      <c r="B63">
        <v>62</v>
      </c>
      <c r="C63">
        <v>0.2424</v>
      </c>
      <c r="D63">
        <v>0.3</v>
      </c>
      <c r="E63">
        <v>0.25369999999999998</v>
      </c>
      <c r="F63">
        <v>9</v>
      </c>
      <c r="G63">
        <v>67</v>
      </c>
      <c r="H63">
        <v>76</v>
      </c>
    </row>
    <row r="64" spans="1:8" x14ac:dyDescent="0.3">
      <c r="A64">
        <v>62</v>
      </c>
      <c r="B64">
        <v>63</v>
      </c>
      <c r="C64">
        <v>0.2273</v>
      </c>
      <c r="D64">
        <v>0.3</v>
      </c>
      <c r="E64">
        <v>0.22389999999999999</v>
      </c>
      <c r="F64">
        <v>11</v>
      </c>
      <c r="G64">
        <v>146</v>
      </c>
      <c r="H64">
        <v>157</v>
      </c>
    </row>
    <row r="65" spans="1:8" x14ac:dyDescent="0.3">
      <c r="A65">
        <v>63</v>
      </c>
      <c r="B65">
        <v>64</v>
      </c>
      <c r="C65">
        <v>0.2576</v>
      </c>
      <c r="D65">
        <v>0.32</v>
      </c>
      <c r="E65">
        <v>0.1045</v>
      </c>
      <c r="F65">
        <v>9</v>
      </c>
      <c r="G65">
        <v>148</v>
      </c>
      <c r="H65">
        <v>157</v>
      </c>
    </row>
    <row r="66" spans="1:8" x14ac:dyDescent="0.3">
      <c r="A66">
        <v>64</v>
      </c>
      <c r="B66">
        <v>65</v>
      </c>
      <c r="C66">
        <v>0.2576</v>
      </c>
      <c r="D66">
        <v>0.47</v>
      </c>
      <c r="E66">
        <v>0</v>
      </c>
      <c r="F66">
        <v>8</v>
      </c>
      <c r="G66">
        <v>102</v>
      </c>
      <c r="H66">
        <v>110</v>
      </c>
    </row>
    <row r="67" spans="1:8" x14ac:dyDescent="0.3">
      <c r="A67">
        <v>65</v>
      </c>
      <c r="B67">
        <v>66</v>
      </c>
      <c r="D67">
        <v>0.47</v>
      </c>
      <c r="E67">
        <v>0.1045</v>
      </c>
      <c r="F67">
        <v>3</v>
      </c>
      <c r="G67">
        <v>49</v>
      </c>
      <c r="H67">
        <v>52</v>
      </c>
    </row>
    <row r="68" spans="1:8" x14ac:dyDescent="0.3">
      <c r="A68">
        <v>66</v>
      </c>
      <c r="B68">
        <v>67</v>
      </c>
      <c r="C68">
        <v>0.19700000000000001</v>
      </c>
      <c r="D68">
        <v>0.64</v>
      </c>
      <c r="E68">
        <v>0.1343</v>
      </c>
      <c r="F68">
        <v>3</v>
      </c>
      <c r="G68">
        <v>49</v>
      </c>
      <c r="H68">
        <v>52</v>
      </c>
    </row>
    <row r="69" spans="1:8" x14ac:dyDescent="0.3">
      <c r="A69">
        <v>67</v>
      </c>
      <c r="B69">
        <v>68</v>
      </c>
      <c r="C69">
        <v>0.1515</v>
      </c>
      <c r="D69">
        <v>0.69</v>
      </c>
      <c r="E69">
        <v>0.1343</v>
      </c>
      <c r="F69">
        <v>0</v>
      </c>
      <c r="G69">
        <v>20</v>
      </c>
      <c r="H69">
        <v>20</v>
      </c>
    </row>
    <row r="70" spans="1:8" x14ac:dyDescent="0.3">
      <c r="A70">
        <v>68</v>
      </c>
      <c r="B70">
        <v>69</v>
      </c>
      <c r="C70">
        <v>0.21210000000000001</v>
      </c>
      <c r="D70">
        <v>0.55000000000000004</v>
      </c>
      <c r="E70">
        <v>0.1045</v>
      </c>
      <c r="F70">
        <v>1</v>
      </c>
      <c r="G70">
        <v>11</v>
      </c>
      <c r="H70">
        <v>12</v>
      </c>
    </row>
    <row r="71" spans="1:8" x14ac:dyDescent="0.3">
      <c r="A71">
        <v>69</v>
      </c>
      <c r="B71">
        <v>70</v>
      </c>
      <c r="D71">
        <v>0.55000000000000004</v>
      </c>
      <c r="E71">
        <v>0.1045</v>
      </c>
      <c r="F71">
        <v>0</v>
      </c>
      <c r="G71">
        <v>5</v>
      </c>
      <c r="H71">
        <v>5</v>
      </c>
    </row>
    <row r="72" spans="1:8" x14ac:dyDescent="0.3">
      <c r="A72">
        <v>70</v>
      </c>
      <c r="B72">
        <v>71</v>
      </c>
      <c r="C72">
        <v>0.18179999999999999</v>
      </c>
      <c r="D72">
        <v>0.59</v>
      </c>
      <c r="E72">
        <v>0.1045</v>
      </c>
      <c r="F72">
        <v>0</v>
      </c>
      <c r="G72">
        <v>2</v>
      </c>
      <c r="H72">
        <v>2</v>
      </c>
    </row>
    <row r="73" spans="1:8" x14ac:dyDescent="0.3">
      <c r="A73">
        <v>71</v>
      </c>
      <c r="B73">
        <v>72</v>
      </c>
      <c r="C73">
        <v>0.1515</v>
      </c>
      <c r="D73">
        <v>0.63</v>
      </c>
      <c r="E73">
        <v>0.1343</v>
      </c>
      <c r="F73">
        <v>0</v>
      </c>
      <c r="G73">
        <v>1</v>
      </c>
      <c r="H73">
        <v>1</v>
      </c>
    </row>
    <row r="74" spans="1:8" x14ac:dyDescent="0.3">
      <c r="A74">
        <v>72</v>
      </c>
      <c r="B74">
        <v>73</v>
      </c>
      <c r="C74">
        <v>0.18179999999999999</v>
      </c>
      <c r="D74">
        <v>0.63</v>
      </c>
      <c r="E74">
        <v>8.9599999999999999E-2</v>
      </c>
      <c r="F74">
        <v>0</v>
      </c>
      <c r="G74">
        <v>2</v>
      </c>
      <c r="H74">
        <v>2</v>
      </c>
    </row>
    <row r="75" spans="1:8" x14ac:dyDescent="0.3">
      <c r="A75">
        <v>73</v>
      </c>
      <c r="B75">
        <v>74</v>
      </c>
      <c r="C75">
        <v>0.1515</v>
      </c>
      <c r="D75">
        <v>0.68</v>
      </c>
      <c r="E75">
        <v>0.1045</v>
      </c>
      <c r="F75">
        <v>0</v>
      </c>
      <c r="G75">
        <v>4</v>
      </c>
      <c r="H75">
        <v>4</v>
      </c>
    </row>
    <row r="76" spans="1:8" x14ac:dyDescent="0.3">
      <c r="A76">
        <v>74</v>
      </c>
      <c r="B76">
        <v>75</v>
      </c>
      <c r="C76">
        <v>0.1515</v>
      </c>
      <c r="D76">
        <v>0.74</v>
      </c>
      <c r="E76">
        <v>0.1045</v>
      </c>
      <c r="F76">
        <v>0</v>
      </c>
      <c r="G76">
        <v>36</v>
      </c>
      <c r="H76">
        <v>36</v>
      </c>
    </row>
    <row r="77" spans="1:8" x14ac:dyDescent="0.3">
      <c r="A77">
        <v>75</v>
      </c>
      <c r="B77">
        <v>76</v>
      </c>
      <c r="C77">
        <v>0.1515</v>
      </c>
      <c r="D77">
        <v>0.74</v>
      </c>
      <c r="E77">
        <v>0.1343</v>
      </c>
      <c r="F77">
        <v>2</v>
      </c>
      <c r="G77">
        <v>92</v>
      </c>
      <c r="H77">
        <v>94</v>
      </c>
    </row>
    <row r="78" spans="1:8" x14ac:dyDescent="0.3">
      <c r="A78">
        <v>76</v>
      </c>
      <c r="B78">
        <v>77</v>
      </c>
      <c r="C78">
        <v>0.1515</v>
      </c>
      <c r="D78">
        <v>0.69</v>
      </c>
      <c r="E78">
        <v>0.16420000000000001</v>
      </c>
      <c r="F78">
        <v>2</v>
      </c>
      <c r="G78">
        <v>177</v>
      </c>
      <c r="H78">
        <v>179</v>
      </c>
    </row>
    <row r="79" spans="1:8" x14ac:dyDescent="0.3">
      <c r="A79">
        <v>77</v>
      </c>
      <c r="B79">
        <v>78</v>
      </c>
      <c r="C79">
        <v>0.1515</v>
      </c>
      <c r="D79">
        <v>0.64</v>
      </c>
      <c r="E79">
        <v>0.22389999999999999</v>
      </c>
      <c r="F79">
        <v>2</v>
      </c>
      <c r="G79">
        <v>98</v>
      </c>
      <c r="H79">
        <v>100</v>
      </c>
    </row>
    <row r="80" spans="1:8" x14ac:dyDescent="0.3">
      <c r="A80">
        <v>78</v>
      </c>
      <c r="B80">
        <v>79</v>
      </c>
      <c r="C80">
        <v>0.13639999999999999</v>
      </c>
      <c r="D80">
        <v>0.69</v>
      </c>
      <c r="E80">
        <v>0.32840000000000003</v>
      </c>
      <c r="F80">
        <v>5</v>
      </c>
      <c r="G80">
        <v>37</v>
      </c>
      <c r="H80">
        <v>42</v>
      </c>
    </row>
    <row r="81" spans="1:8" x14ac:dyDescent="0.3">
      <c r="A81">
        <v>79</v>
      </c>
      <c r="B81">
        <v>80</v>
      </c>
      <c r="C81">
        <v>0.21210000000000001</v>
      </c>
      <c r="D81">
        <v>0.51</v>
      </c>
      <c r="E81">
        <v>0.29849999999999999</v>
      </c>
      <c r="F81">
        <v>7</v>
      </c>
      <c r="G81">
        <v>50</v>
      </c>
      <c r="H81">
        <v>57</v>
      </c>
    </row>
    <row r="82" spans="1:8" x14ac:dyDescent="0.3">
      <c r="A82">
        <v>80</v>
      </c>
      <c r="B82">
        <v>81</v>
      </c>
      <c r="C82">
        <v>0.2273</v>
      </c>
      <c r="D82">
        <v>0.51</v>
      </c>
      <c r="E82">
        <v>0.16420000000000001</v>
      </c>
      <c r="F82">
        <v>12</v>
      </c>
      <c r="G82">
        <v>66</v>
      </c>
      <c r="H82">
        <v>78</v>
      </c>
    </row>
    <row r="83" spans="1:8" x14ac:dyDescent="0.3">
      <c r="A83">
        <v>81</v>
      </c>
      <c r="B83">
        <v>82</v>
      </c>
      <c r="C83">
        <v>0.2273</v>
      </c>
      <c r="D83">
        <v>0.56000000000000005</v>
      </c>
      <c r="E83">
        <v>0.19400000000000001</v>
      </c>
      <c r="F83">
        <v>18</v>
      </c>
      <c r="G83">
        <v>79</v>
      </c>
      <c r="H83">
        <v>97</v>
      </c>
    </row>
    <row r="84" spans="1:8" x14ac:dyDescent="0.3">
      <c r="A84">
        <v>82</v>
      </c>
      <c r="B84">
        <v>83</v>
      </c>
      <c r="C84">
        <v>0.2576</v>
      </c>
      <c r="D84">
        <v>0.52</v>
      </c>
      <c r="E84">
        <v>0.22389999999999999</v>
      </c>
      <c r="F84">
        <v>9</v>
      </c>
      <c r="G84">
        <v>54</v>
      </c>
      <c r="H84">
        <v>63</v>
      </c>
    </row>
    <row r="85" spans="1:8" x14ac:dyDescent="0.3">
      <c r="A85">
        <v>83</v>
      </c>
      <c r="B85">
        <v>84</v>
      </c>
      <c r="C85">
        <v>0.2727</v>
      </c>
      <c r="D85">
        <v>0.52</v>
      </c>
      <c r="E85">
        <v>0.25369999999999998</v>
      </c>
      <c r="F85">
        <v>17</v>
      </c>
      <c r="G85">
        <v>48</v>
      </c>
      <c r="H85">
        <v>65</v>
      </c>
    </row>
    <row r="86" spans="1:8" x14ac:dyDescent="0.3">
      <c r="A86">
        <v>84</v>
      </c>
      <c r="B86">
        <v>85</v>
      </c>
      <c r="C86">
        <v>0.28789999999999999</v>
      </c>
      <c r="D86">
        <v>0.49</v>
      </c>
      <c r="E86">
        <v>0.25369999999999998</v>
      </c>
      <c r="F86">
        <v>15</v>
      </c>
      <c r="G86">
        <v>68</v>
      </c>
      <c r="H86">
        <v>83</v>
      </c>
    </row>
    <row r="87" spans="1:8" x14ac:dyDescent="0.3">
      <c r="A87">
        <v>85</v>
      </c>
      <c r="B87">
        <v>86</v>
      </c>
      <c r="C87">
        <v>0.2727</v>
      </c>
      <c r="D87">
        <v>0.48</v>
      </c>
      <c r="E87">
        <v>0.22389999999999999</v>
      </c>
      <c r="F87">
        <v>10</v>
      </c>
      <c r="G87">
        <v>202</v>
      </c>
      <c r="H87">
        <v>212</v>
      </c>
    </row>
    <row r="88" spans="1:8" x14ac:dyDescent="0.3">
      <c r="A88">
        <v>86</v>
      </c>
      <c r="B88">
        <v>87</v>
      </c>
      <c r="C88">
        <v>0.2576</v>
      </c>
      <c r="D88">
        <v>0.48</v>
      </c>
      <c r="E88">
        <v>0.19400000000000001</v>
      </c>
      <c r="F88">
        <v>3</v>
      </c>
      <c r="G88">
        <v>179</v>
      </c>
      <c r="H88">
        <v>182</v>
      </c>
    </row>
    <row r="89" spans="1:8" x14ac:dyDescent="0.3">
      <c r="A89">
        <v>87</v>
      </c>
      <c r="B89">
        <v>88</v>
      </c>
      <c r="C89">
        <v>0.2576</v>
      </c>
      <c r="D89">
        <v>0.48</v>
      </c>
      <c r="E89">
        <v>0.1045</v>
      </c>
      <c r="F89">
        <v>2</v>
      </c>
      <c r="G89">
        <v>110</v>
      </c>
      <c r="H89">
        <v>112</v>
      </c>
    </row>
    <row r="90" spans="1:8" x14ac:dyDescent="0.3">
      <c r="A90">
        <v>88</v>
      </c>
      <c r="B90">
        <v>89</v>
      </c>
      <c r="C90">
        <v>0.2576</v>
      </c>
      <c r="D90">
        <v>0.48</v>
      </c>
      <c r="E90">
        <v>0.1045</v>
      </c>
      <c r="F90">
        <v>1</v>
      </c>
      <c r="G90">
        <v>53</v>
      </c>
      <c r="H90">
        <v>54</v>
      </c>
    </row>
    <row r="91" spans="1:8" x14ac:dyDescent="0.3">
      <c r="A91">
        <v>89</v>
      </c>
      <c r="B91">
        <v>90</v>
      </c>
      <c r="C91">
        <v>0.2727</v>
      </c>
      <c r="D91">
        <v>0.64</v>
      </c>
      <c r="E91">
        <v>0</v>
      </c>
      <c r="F91">
        <v>0</v>
      </c>
      <c r="G91">
        <v>48</v>
      </c>
      <c r="H91">
        <v>48</v>
      </c>
    </row>
    <row r="92" spans="1:8" x14ac:dyDescent="0.3">
      <c r="A92">
        <v>90</v>
      </c>
      <c r="B92">
        <v>91</v>
      </c>
      <c r="C92">
        <v>0.2576</v>
      </c>
      <c r="D92">
        <v>0.64</v>
      </c>
      <c r="E92">
        <v>8.9599999999999999E-2</v>
      </c>
      <c r="F92">
        <v>1</v>
      </c>
      <c r="G92">
        <v>34</v>
      </c>
      <c r="H92">
        <v>35</v>
      </c>
    </row>
    <row r="93" spans="1:8" x14ac:dyDescent="0.3">
      <c r="A93">
        <v>91</v>
      </c>
      <c r="B93">
        <v>92</v>
      </c>
      <c r="C93">
        <v>0.2273</v>
      </c>
      <c r="D93">
        <v>0.69</v>
      </c>
      <c r="E93">
        <v>8.9599999999999999E-2</v>
      </c>
      <c r="F93">
        <v>2</v>
      </c>
      <c r="G93">
        <v>9</v>
      </c>
      <c r="H93">
        <v>11</v>
      </c>
    </row>
    <row r="94" spans="1:8" x14ac:dyDescent="0.3">
      <c r="A94">
        <v>92</v>
      </c>
      <c r="B94">
        <v>93</v>
      </c>
      <c r="C94">
        <v>0.2576</v>
      </c>
      <c r="D94">
        <v>0.64</v>
      </c>
      <c r="E94">
        <v>0</v>
      </c>
      <c r="F94">
        <v>0</v>
      </c>
      <c r="G94">
        <v>6</v>
      </c>
      <c r="H94">
        <v>6</v>
      </c>
    </row>
    <row r="95" spans="1:8" x14ac:dyDescent="0.3">
      <c r="A95">
        <v>93</v>
      </c>
      <c r="B95">
        <v>94</v>
      </c>
      <c r="C95">
        <v>0.19700000000000001</v>
      </c>
      <c r="D95">
        <v>0.74</v>
      </c>
      <c r="E95">
        <v>8.9599999999999999E-2</v>
      </c>
      <c r="F95">
        <v>0</v>
      </c>
      <c r="G95">
        <v>6</v>
      </c>
      <c r="H95">
        <v>6</v>
      </c>
    </row>
    <row r="96" spans="1:8" x14ac:dyDescent="0.3">
      <c r="A96">
        <v>94</v>
      </c>
      <c r="B96">
        <v>95</v>
      </c>
      <c r="C96">
        <v>0.19700000000000001</v>
      </c>
      <c r="D96">
        <v>0.74</v>
      </c>
      <c r="E96">
        <v>8.9599999999999999E-2</v>
      </c>
      <c r="F96">
        <v>0</v>
      </c>
      <c r="G96">
        <v>2</v>
      </c>
      <c r="H96">
        <v>2</v>
      </c>
    </row>
    <row r="97" spans="1:8" x14ac:dyDescent="0.3">
      <c r="A97">
        <v>95</v>
      </c>
      <c r="B97">
        <v>96</v>
      </c>
      <c r="C97">
        <v>0.2273</v>
      </c>
      <c r="D97">
        <v>0.48</v>
      </c>
      <c r="E97">
        <v>0.22389999999999999</v>
      </c>
      <c r="F97">
        <v>0</v>
      </c>
      <c r="G97">
        <v>2</v>
      </c>
      <c r="H97">
        <v>2</v>
      </c>
    </row>
    <row r="98" spans="1:8" x14ac:dyDescent="0.3">
      <c r="A98">
        <v>96</v>
      </c>
      <c r="B98">
        <v>97</v>
      </c>
      <c r="C98">
        <v>0.2273</v>
      </c>
      <c r="D98">
        <v>0.47</v>
      </c>
      <c r="E98">
        <v>0.16420000000000001</v>
      </c>
      <c r="F98">
        <v>0</v>
      </c>
      <c r="G98">
        <v>3</v>
      </c>
      <c r="H98">
        <v>3</v>
      </c>
    </row>
    <row r="99" spans="1:8" x14ac:dyDescent="0.3">
      <c r="A99">
        <v>97</v>
      </c>
      <c r="B99">
        <v>98</v>
      </c>
      <c r="C99">
        <v>0.19700000000000001</v>
      </c>
      <c r="D99">
        <v>0.47</v>
      </c>
      <c r="E99">
        <v>0.22389999999999999</v>
      </c>
      <c r="F99">
        <v>0</v>
      </c>
      <c r="G99">
        <v>33</v>
      </c>
      <c r="H99">
        <v>33</v>
      </c>
    </row>
    <row r="100" spans="1:8" x14ac:dyDescent="0.3">
      <c r="A100">
        <v>98</v>
      </c>
      <c r="B100">
        <v>99</v>
      </c>
      <c r="C100">
        <v>0.18179999999999999</v>
      </c>
      <c r="D100">
        <v>0.43</v>
      </c>
      <c r="E100">
        <v>0.19400000000000001</v>
      </c>
      <c r="F100">
        <v>1</v>
      </c>
      <c r="G100">
        <v>87</v>
      </c>
      <c r="H100">
        <v>88</v>
      </c>
    </row>
    <row r="101" spans="1:8" x14ac:dyDescent="0.3">
      <c r="A101">
        <v>99</v>
      </c>
      <c r="B101">
        <v>100</v>
      </c>
      <c r="C101">
        <v>0.18179999999999999</v>
      </c>
      <c r="D101">
        <v>0.4</v>
      </c>
      <c r="E101">
        <v>0.29849999999999999</v>
      </c>
      <c r="F101">
        <v>3</v>
      </c>
      <c r="G101">
        <v>192</v>
      </c>
      <c r="H101">
        <v>195</v>
      </c>
    </row>
    <row r="102" spans="1:8" x14ac:dyDescent="0.3">
      <c r="A102">
        <v>100</v>
      </c>
      <c r="B102">
        <v>101</v>
      </c>
      <c r="C102">
        <v>0.19700000000000001</v>
      </c>
      <c r="D102">
        <v>0.37</v>
      </c>
      <c r="E102">
        <v>0.32840000000000003</v>
      </c>
      <c r="F102">
        <v>6</v>
      </c>
      <c r="G102">
        <v>109</v>
      </c>
      <c r="H102">
        <v>115</v>
      </c>
    </row>
    <row r="103" spans="1:8" x14ac:dyDescent="0.3">
      <c r="A103">
        <v>101</v>
      </c>
      <c r="B103">
        <v>102</v>
      </c>
      <c r="C103">
        <v>0.19700000000000001</v>
      </c>
      <c r="D103">
        <v>0.37</v>
      </c>
      <c r="E103">
        <v>0.32840000000000003</v>
      </c>
      <c r="F103">
        <v>4</v>
      </c>
      <c r="G103">
        <v>53</v>
      </c>
      <c r="H103">
        <v>57</v>
      </c>
    </row>
    <row r="104" spans="1:8" x14ac:dyDescent="0.3">
      <c r="A104">
        <v>102</v>
      </c>
      <c r="B104">
        <v>103</v>
      </c>
      <c r="C104">
        <v>0.2273</v>
      </c>
      <c r="D104">
        <v>0.33</v>
      </c>
      <c r="E104">
        <v>0.32840000000000003</v>
      </c>
      <c r="F104">
        <v>12</v>
      </c>
      <c r="G104">
        <v>34</v>
      </c>
      <c r="H104">
        <v>46</v>
      </c>
    </row>
    <row r="105" spans="1:8" x14ac:dyDescent="0.3">
      <c r="A105">
        <v>103</v>
      </c>
      <c r="B105">
        <v>104</v>
      </c>
      <c r="C105">
        <v>0.2273</v>
      </c>
      <c r="D105">
        <v>0.33</v>
      </c>
      <c r="E105">
        <v>0.32840000000000003</v>
      </c>
      <c r="F105">
        <v>5</v>
      </c>
      <c r="G105">
        <v>74</v>
      </c>
      <c r="H105">
        <v>79</v>
      </c>
    </row>
    <row r="106" spans="1:8" x14ac:dyDescent="0.3">
      <c r="A106">
        <v>104</v>
      </c>
      <c r="B106">
        <v>105</v>
      </c>
      <c r="C106">
        <v>0.2576</v>
      </c>
      <c r="D106">
        <v>0.3</v>
      </c>
      <c r="E106">
        <v>0.29849999999999999</v>
      </c>
      <c r="F106">
        <v>6</v>
      </c>
      <c r="G106">
        <v>65</v>
      </c>
      <c r="H106">
        <v>71</v>
      </c>
    </row>
    <row r="107" spans="1:8" x14ac:dyDescent="0.3">
      <c r="A107">
        <v>105</v>
      </c>
      <c r="B107">
        <v>106</v>
      </c>
      <c r="C107">
        <v>0.28789999999999999</v>
      </c>
      <c r="D107">
        <v>0.28000000000000003</v>
      </c>
      <c r="E107">
        <v>0.19400000000000001</v>
      </c>
      <c r="F107">
        <v>10</v>
      </c>
      <c r="G107">
        <v>52</v>
      </c>
      <c r="H107">
        <v>62</v>
      </c>
    </row>
    <row r="108" spans="1:8" x14ac:dyDescent="0.3">
      <c r="A108">
        <v>106</v>
      </c>
      <c r="B108">
        <v>107</v>
      </c>
      <c r="C108">
        <v>0.28789999999999999</v>
      </c>
      <c r="D108">
        <v>0.28000000000000003</v>
      </c>
      <c r="E108">
        <v>0.19400000000000001</v>
      </c>
      <c r="F108">
        <v>7</v>
      </c>
      <c r="G108">
        <v>55</v>
      </c>
      <c r="H108">
        <v>62</v>
      </c>
    </row>
    <row r="109" spans="1:8" x14ac:dyDescent="0.3">
      <c r="A109">
        <v>107</v>
      </c>
      <c r="B109">
        <v>108</v>
      </c>
      <c r="C109">
        <v>0.31819999999999998</v>
      </c>
      <c r="D109">
        <v>0.28000000000000003</v>
      </c>
      <c r="E109">
        <v>8.9599999999999999E-2</v>
      </c>
      <c r="F109">
        <v>4</v>
      </c>
      <c r="G109">
        <v>85</v>
      </c>
      <c r="H109">
        <v>89</v>
      </c>
    </row>
    <row r="110" spans="1:8" x14ac:dyDescent="0.3">
      <c r="A110">
        <v>108</v>
      </c>
      <c r="B110">
        <v>109</v>
      </c>
      <c r="C110">
        <v>0.2273</v>
      </c>
      <c r="D110">
        <v>0.38</v>
      </c>
      <c r="E110">
        <v>0.19400000000000001</v>
      </c>
      <c r="F110">
        <v>4</v>
      </c>
      <c r="G110">
        <v>186</v>
      </c>
      <c r="H110">
        <v>190</v>
      </c>
    </row>
    <row r="111" spans="1:8" x14ac:dyDescent="0.3">
      <c r="A111">
        <v>109</v>
      </c>
      <c r="B111">
        <v>110</v>
      </c>
      <c r="C111">
        <v>0.2424</v>
      </c>
      <c r="D111">
        <v>0.38</v>
      </c>
      <c r="E111">
        <v>0.1343</v>
      </c>
      <c r="F111">
        <v>3</v>
      </c>
      <c r="G111">
        <v>166</v>
      </c>
      <c r="H111">
        <v>169</v>
      </c>
    </row>
    <row r="112" spans="1:8" x14ac:dyDescent="0.3">
      <c r="A112">
        <v>110</v>
      </c>
      <c r="B112">
        <v>111</v>
      </c>
      <c r="C112">
        <v>0.2576</v>
      </c>
      <c r="D112">
        <v>0.38</v>
      </c>
      <c r="E112">
        <v>0.1045</v>
      </c>
      <c r="F112">
        <v>5</v>
      </c>
      <c r="G112">
        <v>127</v>
      </c>
      <c r="H112">
        <v>132</v>
      </c>
    </row>
    <row r="113" spans="1:8" x14ac:dyDescent="0.3">
      <c r="A113">
        <v>111</v>
      </c>
      <c r="B113">
        <v>112</v>
      </c>
      <c r="C113">
        <v>0.2273</v>
      </c>
      <c r="D113">
        <v>0.47</v>
      </c>
      <c r="E113">
        <v>0.16420000000000001</v>
      </c>
      <c r="F113">
        <v>7</v>
      </c>
      <c r="G113">
        <v>82</v>
      </c>
      <c r="H113">
        <v>89</v>
      </c>
    </row>
    <row r="114" spans="1:8" x14ac:dyDescent="0.3">
      <c r="A114">
        <v>112</v>
      </c>
      <c r="B114">
        <v>113</v>
      </c>
      <c r="C114">
        <v>0.19700000000000001</v>
      </c>
      <c r="D114">
        <v>0.51</v>
      </c>
      <c r="E114">
        <v>0.19400000000000001</v>
      </c>
      <c r="F114">
        <v>3</v>
      </c>
      <c r="G114">
        <v>40</v>
      </c>
      <c r="H114">
        <v>43</v>
      </c>
    </row>
    <row r="115" spans="1:8" x14ac:dyDescent="0.3">
      <c r="A115">
        <v>113</v>
      </c>
      <c r="B115">
        <v>114</v>
      </c>
      <c r="C115">
        <v>0.19700000000000001</v>
      </c>
      <c r="D115">
        <v>0.55000000000000004</v>
      </c>
      <c r="E115">
        <v>0.1343</v>
      </c>
      <c r="F115">
        <v>1</v>
      </c>
      <c r="G115">
        <v>41</v>
      </c>
      <c r="H115">
        <v>42</v>
      </c>
    </row>
    <row r="116" spans="1:8" x14ac:dyDescent="0.3">
      <c r="A116">
        <v>114</v>
      </c>
      <c r="B116">
        <v>115</v>
      </c>
      <c r="C116">
        <v>0.2576</v>
      </c>
      <c r="D116">
        <v>0.47</v>
      </c>
      <c r="E116">
        <v>0</v>
      </c>
      <c r="F116">
        <v>1</v>
      </c>
      <c r="G116">
        <v>18</v>
      </c>
      <c r="H116">
        <v>19</v>
      </c>
    </row>
    <row r="117" spans="1:8" x14ac:dyDescent="0.3">
      <c r="A117">
        <v>115</v>
      </c>
      <c r="B117">
        <v>116</v>
      </c>
      <c r="C117">
        <v>0.2424</v>
      </c>
      <c r="D117">
        <v>0.55000000000000004</v>
      </c>
      <c r="E117">
        <v>0</v>
      </c>
      <c r="F117">
        <v>0</v>
      </c>
      <c r="G117">
        <v>11</v>
      </c>
      <c r="H117">
        <v>11</v>
      </c>
    </row>
    <row r="118" spans="1:8" x14ac:dyDescent="0.3">
      <c r="A118">
        <v>116</v>
      </c>
      <c r="B118">
        <v>117</v>
      </c>
      <c r="C118">
        <v>0.2273</v>
      </c>
      <c r="D118">
        <v>0.64</v>
      </c>
      <c r="E118">
        <v>0</v>
      </c>
      <c r="F118">
        <v>0</v>
      </c>
      <c r="G118">
        <v>4</v>
      </c>
      <c r="H118">
        <v>4</v>
      </c>
    </row>
    <row r="119" spans="1:8" x14ac:dyDescent="0.3">
      <c r="A119">
        <v>117</v>
      </c>
      <c r="B119">
        <v>118</v>
      </c>
      <c r="C119">
        <v>0.2273</v>
      </c>
      <c r="D119">
        <v>0.64</v>
      </c>
      <c r="E119">
        <v>0</v>
      </c>
      <c r="F119">
        <v>0</v>
      </c>
      <c r="G119">
        <v>2</v>
      </c>
      <c r="H119">
        <v>2</v>
      </c>
    </row>
    <row r="120" spans="1:8" x14ac:dyDescent="0.3">
      <c r="A120">
        <v>118</v>
      </c>
      <c r="B120">
        <v>119</v>
      </c>
      <c r="C120">
        <v>0.19700000000000001</v>
      </c>
      <c r="D120">
        <v>0.64</v>
      </c>
      <c r="E120">
        <v>8.9599999999999999E-2</v>
      </c>
      <c r="F120">
        <v>0</v>
      </c>
      <c r="G120">
        <v>1</v>
      </c>
      <c r="H120">
        <v>1</v>
      </c>
    </row>
    <row r="121" spans="1:8" x14ac:dyDescent="0.3">
      <c r="A121">
        <v>119</v>
      </c>
      <c r="B121">
        <v>120</v>
      </c>
      <c r="C121">
        <v>0.18179999999999999</v>
      </c>
      <c r="D121">
        <v>0.69</v>
      </c>
      <c r="E121">
        <v>8.9599999999999999E-2</v>
      </c>
      <c r="F121">
        <v>0</v>
      </c>
      <c r="G121">
        <v>4</v>
      </c>
      <c r="H121">
        <v>4</v>
      </c>
    </row>
    <row r="122" spans="1:8" x14ac:dyDescent="0.3">
      <c r="A122">
        <v>120</v>
      </c>
      <c r="B122">
        <v>121</v>
      </c>
      <c r="C122">
        <v>0.16669999999999999</v>
      </c>
      <c r="D122">
        <v>0.63</v>
      </c>
      <c r="E122">
        <v>0.1045</v>
      </c>
      <c r="F122">
        <v>0</v>
      </c>
      <c r="G122">
        <v>36</v>
      </c>
      <c r="H122">
        <v>36</v>
      </c>
    </row>
    <row r="123" spans="1:8" x14ac:dyDescent="0.3">
      <c r="A123">
        <v>121</v>
      </c>
      <c r="B123">
        <v>122</v>
      </c>
      <c r="C123">
        <v>0.2273</v>
      </c>
      <c r="D123">
        <v>0.59</v>
      </c>
      <c r="E123">
        <v>0</v>
      </c>
      <c r="F123">
        <v>0</v>
      </c>
      <c r="G123">
        <v>95</v>
      </c>
      <c r="H123">
        <v>95</v>
      </c>
    </row>
    <row r="124" spans="1:8" x14ac:dyDescent="0.3">
      <c r="A124">
        <v>122</v>
      </c>
      <c r="B124">
        <v>123</v>
      </c>
      <c r="C124">
        <v>0.2273</v>
      </c>
      <c r="D124">
        <v>0.59</v>
      </c>
      <c r="E124">
        <v>0</v>
      </c>
      <c r="F124">
        <v>3</v>
      </c>
      <c r="G124">
        <v>216</v>
      </c>
      <c r="H124">
        <v>219</v>
      </c>
    </row>
    <row r="125" spans="1:8" x14ac:dyDescent="0.3">
      <c r="A125">
        <v>123</v>
      </c>
      <c r="B125">
        <v>124</v>
      </c>
      <c r="C125">
        <v>0.2424</v>
      </c>
      <c r="D125">
        <v>0.51</v>
      </c>
      <c r="E125">
        <v>0</v>
      </c>
      <c r="F125">
        <v>6</v>
      </c>
      <c r="G125">
        <v>116</v>
      </c>
      <c r="H125">
        <v>122</v>
      </c>
    </row>
    <row r="126" spans="1:8" x14ac:dyDescent="0.3">
      <c r="A126">
        <v>124</v>
      </c>
      <c r="B126">
        <v>125</v>
      </c>
      <c r="C126">
        <v>0.2576</v>
      </c>
      <c r="D126">
        <v>0.47</v>
      </c>
      <c r="E126">
        <v>0</v>
      </c>
      <c r="F126">
        <v>3</v>
      </c>
      <c r="G126">
        <v>42</v>
      </c>
      <c r="H126">
        <v>45</v>
      </c>
    </row>
    <row r="127" spans="1:8" x14ac:dyDescent="0.3">
      <c r="A127">
        <v>125</v>
      </c>
      <c r="B127">
        <v>126</v>
      </c>
      <c r="C127">
        <v>0.2576</v>
      </c>
      <c r="D127">
        <v>0.44</v>
      </c>
      <c r="E127">
        <v>8.9599999999999999E-2</v>
      </c>
      <c r="F127">
        <v>2</v>
      </c>
      <c r="G127">
        <v>57</v>
      </c>
      <c r="H127">
        <v>59</v>
      </c>
    </row>
    <row r="128" spans="1:8" x14ac:dyDescent="0.3">
      <c r="A128">
        <v>126</v>
      </c>
      <c r="B128">
        <v>127</v>
      </c>
      <c r="C128">
        <v>0.28789999999999999</v>
      </c>
      <c r="D128">
        <v>0.35</v>
      </c>
      <c r="E128">
        <v>0</v>
      </c>
      <c r="F128">
        <v>6</v>
      </c>
      <c r="G128">
        <v>78</v>
      </c>
      <c r="H128">
        <v>84</v>
      </c>
    </row>
    <row r="129" spans="1:8" x14ac:dyDescent="0.3">
      <c r="A129">
        <v>127</v>
      </c>
      <c r="B129">
        <v>128</v>
      </c>
      <c r="C129">
        <v>0.2727</v>
      </c>
      <c r="D129">
        <v>0.35</v>
      </c>
      <c r="E129">
        <v>0.1045</v>
      </c>
      <c r="F129">
        <v>12</v>
      </c>
      <c r="G129">
        <v>55</v>
      </c>
      <c r="H129">
        <v>67</v>
      </c>
    </row>
    <row r="130" spans="1:8" x14ac:dyDescent="0.3">
      <c r="A130">
        <v>128</v>
      </c>
      <c r="B130">
        <v>129</v>
      </c>
      <c r="C130">
        <v>0.2727</v>
      </c>
      <c r="D130">
        <v>0.36</v>
      </c>
      <c r="E130">
        <v>0.16420000000000001</v>
      </c>
      <c r="F130">
        <v>11</v>
      </c>
      <c r="G130">
        <v>59</v>
      </c>
      <c r="H130">
        <v>70</v>
      </c>
    </row>
    <row r="131" spans="1:8" x14ac:dyDescent="0.3">
      <c r="A131">
        <v>129</v>
      </c>
      <c r="B131">
        <v>130</v>
      </c>
      <c r="C131">
        <v>0.2727</v>
      </c>
      <c r="D131">
        <v>0.36</v>
      </c>
      <c r="E131">
        <v>0</v>
      </c>
      <c r="F131">
        <v>8</v>
      </c>
      <c r="G131">
        <v>54</v>
      </c>
      <c r="H131">
        <v>62</v>
      </c>
    </row>
    <row r="132" spans="1:8" x14ac:dyDescent="0.3">
      <c r="A132">
        <v>130</v>
      </c>
      <c r="B132">
        <v>131</v>
      </c>
      <c r="C132">
        <v>0.2576</v>
      </c>
      <c r="D132">
        <v>0.38</v>
      </c>
      <c r="E132">
        <v>0.16420000000000001</v>
      </c>
      <c r="F132">
        <v>12</v>
      </c>
      <c r="G132">
        <v>74</v>
      </c>
      <c r="H132">
        <v>86</v>
      </c>
    </row>
    <row r="133" spans="1:8" x14ac:dyDescent="0.3">
      <c r="A133">
        <v>131</v>
      </c>
      <c r="B133">
        <v>132</v>
      </c>
      <c r="C133">
        <v>0.2273</v>
      </c>
      <c r="D133">
        <v>0.51</v>
      </c>
      <c r="E133">
        <v>0.16420000000000001</v>
      </c>
      <c r="F133">
        <v>9</v>
      </c>
      <c r="G133">
        <v>163</v>
      </c>
      <c r="H133">
        <v>172</v>
      </c>
    </row>
    <row r="134" spans="1:8" x14ac:dyDescent="0.3">
      <c r="A134">
        <v>132</v>
      </c>
      <c r="B134">
        <v>133</v>
      </c>
      <c r="C134">
        <v>0.2273</v>
      </c>
      <c r="D134">
        <v>0.51</v>
      </c>
      <c r="E134">
        <v>0.1343</v>
      </c>
      <c r="F134">
        <v>5</v>
      </c>
      <c r="G134">
        <v>158</v>
      </c>
      <c r="H134">
        <v>163</v>
      </c>
    </row>
    <row r="135" spans="1:8" x14ac:dyDescent="0.3">
      <c r="A135">
        <v>133</v>
      </c>
      <c r="B135">
        <v>134</v>
      </c>
      <c r="C135">
        <v>0.2576</v>
      </c>
      <c r="D135">
        <v>0.55000000000000004</v>
      </c>
      <c r="E135">
        <v>8.9599999999999999E-2</v>
      </c>
      <c r="F135">
        <v>3</v>
      </c>
      <c r="G135">
        <v>109</v>
      </c>
      <c r="H135">
        <v>112</v>
      </c>
    </row>
    <row r="136" spans="1:8" x14ac:dyDescent="0.3">
      <c r="A136">
        <v>134</v>
      </c>
      <c r="B136">
        <v>135</v>
      </c>
      <c r="C136">
        <v>0.21210000000000001</v>
      </c>
      <c r="D136">
        <v>0.51</v>
      </c>
      <c r="E136">
        <v>0.16420000000000001</v>
      </c>
      <c r="F136">
        <v>3</v>
      </c>
      <c r="G136">
        <v>66</v>
      </c>
      <c r="H136">
        <v>69</v>
      </c>
    </row>
    <row r="137" spans="1:8" x14ac:dyDescent="0.3">
      <c r="A137">
        <v>135</v>
      </c>
      <c r="B137">
        <v>136</v>
      </c>
      <c r="C137">
        <v>0.21210000000000001</v>
      </c>
      <c r="D137">
        <v>0.55000000000000004</v>
      </c>
      <c r="E137">
        <v>0.22389999999999999</v>
      </c>
      <c r="F137">
        <v>0</v>
      </c>
      <c r="G137">
        <v>48</v>
      </c>
      <c r="H137">
        <v>48</v>
      </c>
    </row>
    <row r="138" spans="1:8" x14ac:dyDescent="0.3">
      <c r="A138">
        <v>136</v>
      </c>
      <c r="B138">
        <v>137</v>
      </c>
      <c r="C138">
        <v>0.21210000000000001</v>
      </c>
      <c r="D138">
        <v>0.51</v>
      </c>
      <c r="E138">
        <v>0.28360000000000002</v>
      </c>
      <c r="F138">
        <v>1</v>
      </c>
      <c r="G138">
        <v>51</v>
      </c>
      <c r="H138">
        <v>52</v>
      </c>
    </row>
    <row r="139" spans="1:8" x14ac:dyDescent="0.3">
      <c r="A139">
        <v>137</v>
      </c>
      <c r="B139">
        <v>138</v>
      </c>
      <c r="C139">
        <v>0.19700000000000001</v>
      </c>
      <c r="D139">
        <v>0.59</v>
      </c>
      <c r="E139">
        <v>0.19400000000000001</v>
      </c>
      <c r="F139">
        <v>4</v>
      </c>
      <c r="G139">
        <v>19</v>
      </c>
      <c r="H139">
        <v>23</v>
      </c>
    </row>
    <row r="140" spans="1:8" x14ac:dyDescent="0.3">
      <c r="A140">
        <v>138</v>
      </c>
      <c r="B140">
        <v>139</v>
      </c>
      <c r="C140">
        <v>0.19700000000000001</v>
      </c>
      <c r="D140">
        <v>0.64</v>
      </c>
      <c r="E140">
        <v>0.19400000000000001</v>
      </c>
      <c r="F140">
        <v>4</v>
      </c>
      <c r="G140">
        <v>13</v>
      </c>
      <c r="H140">
        <v>17</v>
      </c>
    </row>
    <row r="141" spans="1:8" x14ac:dyDescent="0.3">
      <c r="A141">
        <v>139</v>
      </c>
      <c r="B141">
        <v>140</v>
      </c>
      <c r="C141">
        <v>0.19700000000000001</v>
      </c>
      <c r="D141">
        <v>0.69</v>
      </c>
      <c r="E141">
        <v>0.22389999999999999</v>
      </c>
      <c r="F141">
        <v>2</v>
      </c>
      <c r="G141">
        <v>5</v>
      </c>
      <c r="H141">
        <v>7</v>
      </c>
    </row>
    <row r="142" spans="1:8" x14ac:dyDescent="0.3">
      <c r="A142">
        <v>140</v>
      </c>
      <c r="B142">
        <v>141</v>
      </c>
      <c r="C142">
        <v>0.19700000000000001</v>
      </c>
      <c r="D142">
        <v>0.69</v>
      </c>
      <c r="E142">
        <v>0.22389999999999999</v>
      </c>
      <c r="F142">
        <v>0</v>
      </c>
      <c r="G142">
        <v>1</v>
      </c>
      <c r="H142">
        <v>1</v>
      </c>
    </row>
    <row r="143" spans="1:8" x14ac:dyDescent="0.3">
      <c r="A143">
        <v>141</v>
      </c>
      <c r="B143">
        <v>142</v>
      </c>
      <c r="C143">
        <v>0.21210000000000001</v>
      </c>
      <c r="D143">
        <v>0.69</v>
      </c>
      <c r="E143">
        <v>0.1343</v>
      </c>
      <c r="F143">
        <v>0</v>
      </c>
      <c r="G143">
        <v>1</v>
      </c>
      <c r="H143">
        <v>1</v>
      </c>
    </row>
    <row r="144" spans="1:8" x14ac:dyDescent="0.3">
      <c r="A144">
        <v>142</v>
      </c>
      <c r="B144">
        <v>143</v>
      </c>
      <c r="C144">
        <v>0.2727</v>
      </c>
      <c r="D144">
        <v>0.55000000000000004</v>
      </c>
      <c r="E144">
        <v>0</v>
      </c>
      <c r="F144">
        <v>0</v>
      </c>
      <c r="G144">
        <v>5</v>
      </c>
      <c r="H144">
        <v>5</v>
      </c>
    </row>
    <row r="145" spans="1:8" x14ac:dyDescent="0.3">
      <c r="A145">
        <v>143</v>
      </c>
      <c r="B145">
        <v>144</v>
      </c>
      <c r="C145">
        <v>0.2576</v>
      </c>
      <c r="D145">
        <v>0.69</v>
      </c>
      <c r="E145">
        <v>0</v>
      </c>
      <c r="F145">
        <v>8</v>
      </c>
      <c r="G145">
        <v>26</v>
      </c>
      <c r="H145">
        <v>34</v>
      </c>
    </row>
    <row r="146" spans="1:8" x14ac:dyDescent="0.3">
      <c r="A146">
        <v>144</v>
      </c>
      <c r="B146">
        <v>145</v>
      </c>
      <c r="C146">
        <v>0.21210000000000001</v>
      </c>
      <c r="D146">
        <v>0.69</v>
      </c>
      <c r="E146">
        <v>0.1343</v>
      </c>
      <c r="F146">
        <v>8</v>
      </c>
      <c r="G146">
        <v>76</v>
      </c>
      <c r="H146">
        <v>84</v>
      </c>
    </row>
    <row r="147" spans="1:8" x14ac:dyDescent="0.3">
      <c r="A147">
        <v>145</v>
      </c>
      <c r="B147">
        <v>146</v>
      </c>
      <c r="C147">
        <v>0.19700000000000001</v>
      </c>
      <c r="D147">
        <v>0.51</v>
      </c>
      <c r="E147">
        <v>0.25369999999999998</v>
      </c>
      <c r="F147">
        <v>20</v>
      </c>
      <c r="G147">
        <v>190</v>
      </c>
      <c r="H147">
        <v>210</v>
      </c>
    </row>
    <row r="148" spans="1:8" x14ac:dyDescent="0.3">
      <c r="A148">
        <v>146</v>
      </c>
      <c r="B148">
        <v>147</v>
      </c>
      <c r="C148">
        <v>0.18179999999999999</v>
      </c>
      <c r="D148">
        <v>0.47</v>
      </c>
      <c r="E148">
        <v>0.29849999999999999</v>
      </c>
      <c r="F148">
        <v>9</v>
      </c>
      <c r="G148">
        <v>125</v>
      </c>
      <c r="H148">
        <v>134</v>
      </c>
    </row>
    <row r="149" spans="1:8" x14ac:dyDescent="0.3">
      <c r="A149">
        <v>147</v>
      </c>
      <c r="B149">
        <v>148</v>
      </c>
      <c r="C149">
        <v>0.19700000000000001</v>
      </c>
      <c r="D149">
        <v>0.37</v>
      </c>
      <c r="E149">
        <v>0.32840000000000003</v>
      </c>
      <c r="F149">
        <v>16</v>
      </c>
      <c r="G149">
        <v>47</v>
      </c>
      <c r="H149">
        <v>63</v>
      </c>
    </row>
    <row r="150" spans="1:8" x14ac:dyDescent="0.3">
      <c r="A150">
        <v>148</v>
      </c>
      <c r="B150">
        <v>149</v>
      </c>
      <c r="C150">
        <v>0.19700000000000001</v>
      </c>
      <c r="D150">
        <v>0.4</v>
      </c>
      <c r="E150">
        <v>0.22389999999999999</v>
      </c>
      <c r="F150">
        <v>19</v>
      </c>
      <c r="G150">
        <v>48</v>
      </c>
      <c r="H150">
        <v>67</v>
      </c>
    </row>
    <row r="151" spans="1:8" x14ac:dyDescent="0.3">
      <c r="A151">
        <v>149</v>
      </c>
      <c r="B151">
        <v>150</v>
      </c>
      <c r="C151">
        <v>0.19700000000000001</v>
      </c>
      <c r="D151">
        <v>0.37</v>
      </c>
      <c r="E151">
        <v>0.25369999999999998</v>
      </c>
      <c r="F151">
        <v>9</v>
      </c>
      <c r="G151">
        <v>50</v>
      </c>
      <c r="H151">
        <v>59</v>
      </c>
    </row>
    <row r="152" spans="1:8" x14ac:dyDescent="0.3">
      <c r="A152">
        <v>150</v>
      </c>
      <c r="B152">
        <v>151</v>
      </c>
      <c r="C152">
        <v>0.18179999999999999</v>
      </c>
      <c r="D152">
        <v>0.37</v>
      </c>
      <c r="E152">
        <v>0.28360000000000002</v>
      </c>
      <c r="F152">
        <v>9</v>
      </c>
      <c r="G152">
        <v>64</v>
      </c>
      <c r="H152">
        <v>73</v>
      </c>
    </row>
    <row r="153" spans="1:8" x14ac:dyDescent="0.3">
      <c r="A153">
        <v>151</v>
      </c>
      <c r="B153">
        <v>152</v>
      </c>
      <c r="C153">
        <v>0.19700000000000001</v>
      </c>
      <c r="D153">
        <v>0.4</v>
      </c>
      <c r="E153">
        <v>0.25369999999999998</v>
      </c>
      <c r="F153">
        <v>7</v>
      </c>
      <c r="G153">
        <v>43</v>
      </c>
      <c r="H153">
        <v>50</v>
      </c>
    </row>
    <row r="154" spans="1:8" x14ac:dyDescent="0.3">
      <c r="A154">
        <v>152</v>
      </c>
      <c r="B154">
        <v>153</v>
      </c>
      <c r="C154">
        <v>0.21210000000000001</v>
      </c>
      <c r="D154">
        <v>0.37</v>
      </c>
      <c r="E154">
        <v>0.16420000000000001</v>
      </c>
      <c r="F154">
        <v>9</v>
      </c>
      <c r="G154">
        <v>63</v>
      </c>
      <c r="H154">
        <v>72</v>
      </c>
    </row>
    <row r="155" spans="1:8" x14ac:dyDescent="0.3">
      <c r="A155">
        <v>153</v>
      </c>
      <c r="B155">
        <v>154</v>
      </c>
      <c r="C155">
        <v>0.21210000000000001</v>
      </c>
      <c r="D155">
        <v>0.37</v>
      </c>
      <c r="E155">
        <v>0.16420000000000001</v>
      </c>
      <c r="F155">
        <v>5</v>
      </c>
      <c r="G155">
        <v>82</v>
      </c>
      <c r="H155">
        <v>87</v>
      </c>
    </row>
    <row r="156" spans="1:8" x14ac:dyDescent="0.3">
      <c r="A156">
        <v>154</v>
      </c>
      <c r="B156">
        <v>155</v>
      </c>
      <c r="C156">
        <v>0.2576</v>
      </c>
      <c r="D156">
        <v>0.37</v>
      </c>
      <c r="E156">
        <v>0</v>
      </c>
      <c r="F156">
        <v>9</v>
      </c>
      <c r="G156">
        <v>178</v>
      </c>
      <c r="H156">
        <v>187</v>
      </c>
    </row>
    <row r="157" spans="1:8" x14ac:dyDescent="0.3">
      <c r="A157">
        <v>155</v>
      </c>
      <c r="B157">
        <v>156</v>
      </c>
      <c r="C157">
        <v>0.2273</v>
      </c>
      <c r="D157">
        <v>0.4</v>
      </c>
      <c r="E157">
        <v>8.9599999999999999E-2</v>
      </c>
      <c r="F157">
        <v>7</v>
      </c>
      <c r="G157">
        <v>116</v>
      </c>
      <c r="H157">
        <v>123</v>
      </c>
    </row>
    <row r="158" spans="1:8" x14ac:dyDescent="0.3">
      <c r="A158">
        <v>156</v>
      </c>
      <c r="B158">
        <v>157</v>
      </c>
      <c r="C158">
        <v>0.19700000000000001</v>
      </c>
      <c r="D158">
        <v>0.55000000000000004</v>
      </c>
      <c r="E158">
        <v>8.9599999999999999E-2</v>
      </c>
      <c r="F158">
        <v>3</v>
      </c>
      <c r="G158">
        <v>92</v>
      </c>
      <c r="H158">
        <v>95</v>
      </c>
    </row>
    <row r="159" spans="1:8" x14ac:dyDescent="0.3">
      <c r="A159">
        <v>157</v>
      </c>
      <c r="B159">
        <v>158</v>
      </c>
      <c r="C159">
        <v>0.21210000000000001</v>
      </c>
      <c r="D159">
        <v>0.47</v>
      </c>
      <c r="E159">
        <v>0.1045</v>
      </c>
      <c r="F159">
        <v>1</v>
      </c>
      <c r="G159">
        <v>50</v>
      </c>
      <c r="H159">
        <v>51</v>
      </c>
    </row>
    <row r="160" spans="1:8" x14ac:dyDescent="0.3">
      <c r="A160">
        <v>158</v>
      </c>
      <c r="B160">
        <v>159</v>
      </c>
      <c r="C160">
        <v>0.19700000000000001</v>
      </c>
      <c r="D160">
        <v>0.47</v>
      </c>
      <c r="E160">
        <v>0.1343</v>
      </c>
      <c r="F160">
        <v>0</v>
      </c>
      <c r="G160">
        <v>39</v>
      </c>
      <c r="H160">
        <v>39</v>
      </c>
    </row>
    <row r="161" spans="1:8" x14ac:dyDescent="0.3">
      <c r="A161">
        <v>159</v>
      </c>
      <c r="B161">
        <v>160</v>
      </c>
      <c r="C161">
        <v>0.19700000000000001</v>
      </c>
      <c r="D161">
        <v>0.43</v>
      </c>
      <c r="E161">
        <v>0.16420000000000001</v>
      </c>
      <c r="F161">
        <v>2</v>
      </c>
      <c r="G161">
        <v>34</v>
      </c>
      <c r="H161">
        <v>36</v>
      </c>
    </row>
    <row r="162" spans="1:8" x14ac:dyDescent="0.3">
      <c r="A162">
        <v>160</v>
      </c>
      <c r="B162">
        <v>161</v>
      </c>
      <c r="C162">
        <v>0.19700000000000001</v>
      </c>
      <c r="D162">
        <v>0.51</v>
      </c>
      <c r="E162">
        <v>0.16420000000000001</v>
      </c>
      <c r="F162">
        <v>1</v>
      </c>
      <c r="G162">
        <v>14</v>
      </c>
      <c r="H162">
        <v>15</v>
      </c>
    </row>
    <row r="163" spans="1:8" x14ac:dyDescent="0.3">
      <c r="A163">
        <v>161</v>
      </c>
      <c r="B163">
        <v>162</v>
      </c>
      <c r="C163">
        <v>0.19700000000000001</v>
      </c>
      <c r="D163">
        <v>0.51</v>
      </c>
      <c r="E163">
        <v>0.16420000000000001</v>
      </c>
      <c r="F163">
        <v>1</v>
      </c>
      <c r="G163">
        <v>24</v>
      </c>
      <c r="H163">
        <v>25</v>
      </c>
    </row>
    <row r="164" spans="1:8" x14ac:dyDescent="0.3">
      <c r="A164">
        <v>162</v>
      </c>
      <c r="B164">
        <v>163</v>
      </c>
      <c r="C164">
        <v>0.21210000000000001</v>
      </c>
      <c r="D164">
        <v>0.55000000000000004</v>
      </c>
      <c r="E164">
        <v>8.9599999999999999E-2</v>
      </c>
      <c r="F164">
        <v>1</v>
      </c>
      <c r="G164">
        <v>15</v>
      </c>
      <c r="H164">
        <v>16</v>
      </c>
    </row>
    <row r="165" spans="1:8" x14ac:dyDescent="0.3">
      <c r="A165">
        <v>163</v>
      </c>
      <c r="B165">
        <v>164</v>
      </c>
      <c r="C165">
        <v>0.2424</v>
      </c>
      <c r="D165">
        <v>0.55000000000000004</v>
      </c>
      <c r="E165">
        <v>0</v>
      </c>
      <c r="F165">
        <v>3</v>
      </c>
      <c r="G165">
        <v>13</v>
      </c>
      <c r="H165">
        <v>16</v>
      </c>
    </row>
    <row r="166" spans="1:8" x14ac:dyDescent="0.3">
      <c r="A166">
        <v>164</v>
      </c>
      <c r="B166">
        <v>165</v>
      </c>
      <c r="C166">
        <v>0.19700000000000001</v>
      </c>
      <c r="D166">
        <v>0.55000000000000004</v>
      </c>
      <c r="E166">
        <v>0.16420000000000001</v>
      </c>
      <c r="F166">
        <v>0</v>
      </c>
      <c r="G166">
        <v>7</v>
      </c>
      <c r="H166">
        <v>7</v>
      </c>
    </row>
    <row r="167" spans="1:8" x14ac:dyDescent="0.3">
      <c r="A167">
        <v>165</v>
      </c>
      <c r="B167">
        <v>166</v>
      </c>
      <c r="C167">
        <v>0.19700000000000001</v>
      </c>
      <c r="D167">
        <v>0.55000000000000004</v>
      </c>
      <c r="E167">
        <v>0.16420000000000001</v>
      </c>
      <c r="F167">
        <v>0</v>
      </c>
      <c r="G167">
        <v>1</v>
      </c>
      <c r="H167">
        <v>1</v>
      </c>
    </row>
    <row r="168" spans="1:8" x14ac:dyDescent="0.3">
      <c r="A168">
        <v>166</v>
      </c>
      <c r="B168">
        <v>167</v>
      </c>
      <c r="C168">
        <v>0.16669999999999999</v>
      </c>
      <c r="D168">
        <v>0.74</v>
      </c>
      <c r="E168">
        <v>0.16420000000000001</v>
      </c>
      <c r="F168">
        <v>0</v>
      </c>
      <c r="G168">
        <v>5</v>
      </c>
      <c r="H168">
        <v>5</v>
      </c>
    </row>
    <row r="169" spans="1:8" x14ac:dyDescent="0.3">
      <c r="A169">
        <v>167</v>
      </c>
      <c r="B169">
        <v>168</v>
      </c>
      <c r="C169">
        <v>0.16669999999999999</v>
      </c>
      <c r="D169">
        <v>0.74</v>
      </c>
      <c r="E169">
        <v>0.16420000000000001</v>
      </c>
      <c r="F169">
        <v>0</v>
      </c>
      <c r="G169">
        <v>2</v>
      </c>
      <c r="H169">
        <v>2</v>
      </c>
    </row>
    <row r="170" spans="1:8" x14ac:dyDescent="0.3">
      <c r="A170">
        <v>168</v>
      </c>
      <c r="B170">
        <v>169</v>
      </c>
      <c r="C170">
        <v>0.18179999999999999</v>
      </c>
      <c r="D170">
        <v>0.74</v>
      </c>
      <c r="E170">
        <v>0.1045</v>
      </c>
      <c r="F170">
        <v>1</v>
      </c>
      <c r="G170">
        <v>8</v>
      </c>
      <c r="H170">
        <v>9</v>
      </c>
    </row>
    <row r="171" spans="1:8" x14ac:dyDescent="0.3">
      <c r="A171">
        <v>169</v>
      </c>
      <c r="B171">
        <v>170</v>
      </c>
      <c r="C171">
        <v>0.18179999999999999</v>
      </c>
      <c r="D171">
        <v>0.93</v>
      </c>
      <c r="E171">
        <v>0.1045</v>
      </c>
      <c r="F171">
        <v>0</v>
      </c>
      <c r="G171">
        <v>15</v>
      </c>
      <c r="H171">
        <v>15</v>
      </c>
    </row>
    <row r="172" spans="1:8" x14ac:dyDescent="0.3">
      <c r="A172">
        <v>170</v>
      </c>
      <c r="B172">
        <v>171</v>
      </c>
      <c r="C172">
        <v>0.18179999999999999</v>
      </c>
      <c r="D172">
        <v>0.93</v>
      </c>
      <c r="E172">
        <v>0.1045</v>
      </c>
      <c r="F172">
        <v>0</v>
      </c>
      <c r="G172">
        <v>20</v>
      </c>
      <c r="H172">
        <v>20</v>
      </c>
    </row>
    <row r="173" spans="1:8" x14ac:dyDescent="0.3">
      <c r="A173">
        <v>171</v>
      </c>
      <c r="B173">
        <v>172</v>
      </c>
      <c r="C173">
        <v>0.19700000000000001</v>
      </c>
      <c r="D173">
        <v>0.8</v>
      </c>
      <c r="E173">
        <v>0.16420000000000001</v>
      </c>
      <c r="F173">
        <v>5</v>
      </c>
      <c r="G173">
        <v>56</v>
      </c>
      <c r="H173">
        <v>61</v>
      </c>
    </row>
    <row r="174" spans="1:8" x14ac:dyDescent="0.3">
      <c r="A174">
        <v>172</v>
      </c>
      <c r="B174">
        <v>173</v>
      </c>
      <c r="C174">
        <v>0.18179999999999999</v>
      </c>
      <c r="D174">
        <v>0.69</v>
      </c>
      <c r="E174">
        <v>0.3881</v>
      </c>
      <c r="F174">
        <v>2</v>
      </c>
      <c r="G174">
        <v>60</v>
      </c>
      <c r="H174">
        <v>62</v>
      </c>
    </row>
    <row r="175" spans="1:8" x14ac:dyDescent="0.3">
      <c r="A175">
        <v>173</v>
      </c>
      <c r="B175">
        <v>174</v>
      </c>
      <c r="C175">
        <v>0.18179999999999999</v>
      </c>
      <c r="D175">
        <v>0.59</v>
      </c>
      <c r="E175">
        <v>0.35820000000000002</v>
      </c>
      <c r="F175">
        <v>8</v>
      </c>
      <c r="G175">
        <v>90</v>
      </c>
      <c r="H175">
        <v>98</v>
      </c>
    </row>
    <row r="176" spans="1:8" x14ac:dyDescent="0.3">
      <c r="A176">
        <v>174</v>
      </c>
      <c r="B176">
        <v>175</v>
      </c>
      <c r="C176">
        <v>0.18179999999999999</v>
      </c>
      <c r="D176">
        <v>0.44</v>
      </c>
      <c r="E176">
        <v>0.32840000000000003</v>
      </c>
      <c r="F176">
        <v>7</v>
      </c>
      <c r="G176">
        <v>95</v>
      </c>
      <c r="H176">
        <v>102</v>
      </c>
    </row>
    <row r="177" spans="1:8" x14ac:dyDescent="0.3">
      <c r="A177">
        <v>175</v>
      </c>
      <c r="B177">
        <v>176</v>
      </c>
      <c r="C177">
        <v>0.16669999999999999</v>
      </c>
      <c r="D177">
        <v>0.32</v>
      </c>
      <c r="E177">
        <v>0.49249999999999999</v>
      </c>
      <c r="F177">
        <v>12</v>
      </c>
      <c r="G177">
        <v>83</v>
      </c>
      <c r="H177">
        <v>95</v>
      </c>
    </row>
    <row r="178" spans="1:8" x14ac:dyDescent="0.3">
      <c r="A178">
        <v>176</v>
      </c>
      <c r="B178">
        <v>177</v>
      </c>
      <c r="C178">
        <v>0.16669999999999999</v>
      </c>
      <c r="D178">
        <v>0.32</v>
      </c>
      <c r="E178">
        <v>0.44779999999999998</v>
      </c>
      <c r="F178">
        <v>5</v>
      </c>
      <c r="G178">
        <v>69</v>
      </c>
      <c r="H178">
        <v>74</v>
      </c>
    </row>
    <row r="179" spans="1:8" x14ac:dyDescent="0.3">
      <c r="A179">
        <v>177</v>
      </c>
      <c r="B179">
        <v>178</v>
      </c>
      <c r="C179">
        <v>0.13639999999999999</v>
      </c>
      <c r="D179">
        <v>0.28999999999999998</v>
      </c>
      <c r="E179">
        <v>0.44779999999999998</v>
      </c>
      <c r="F179">
        <v>8</v>
      </c>
      <c r="G179">
        <v>68</v>
      </c>
      <c r="H179">
        <v>76</v>
      </c>
    </row>
    <row r="180" spans="1:8" x14ac:dyDescent="0.3">
      <c r="A180">
        <v>178</v>
      </c>
      <c r="B180">
        <v>179</v>
      </c>
      <c r="C180">
        <v>0.1212</v>
      </c>
      <c r="D180">
        <v>0.37</v>
      </c>
      <c r="E180">
        <v>0.55220000000000002</v>
      </c>
      <c r="F180">
        <v>5</v>
      </c>
      <c r="G180">
        <v>64</v>
      </c>
      <c r="H180">
        <v>69</v>
      </c>
    </row>
    <row r="181" spans="1:8" x14ac:dyDescent="0.3">
      <c r="A181">
        <v>179</v>
      </c>
      <c r="B181">
        <v>180</v>
      </c>
      <c r="C181">
        <v>0.1212</v>
      </c>
      <c r="D181">
        <v>0.39</v>
      </c>
      <c r="E181">
        <v>0.29849999999999999</v>
      </c>
      <c r="F181">
        <v>3</v>
      </c>
      <c r="G181">
        <v>52</v>
      </c>
      <c r="H181">
        <v>55</v>
      </c>
    </row>
    <row r="182" spans="1:8" x14ac:dyDescent="0.3">
      <c r="A182">
        <v>180</v>
      </c>
      <c r="B182">
        <v>181</v>
      </c>
      <c r="C182">
        <v>0.1212</v>
      </c>
      <c r="D182">
        <v>0.36</v>
      </c>
      <c r="E182">
        <v>0.25369999999999998</v>
      </c>
      <c r="F182">
        <v>4</v>
      </c>
      <c r="G182">
        <v>26</v>
      </c>
      <c r="H182">
        <v>30</v>
      </c>
    </row>
    <row r="183" spans="1:8" x14ac:dyDescent="0.3">
      <c r="A183">
        <v>181</v>
      </c>
      <c r="B183">
        <v>182</v>
      </c>
      <c r="C183">
        <v>0.1212</v>
      </c>
      <c r="D183">
        <v>0.36</v>
      </c>
      <c r="E183">
        <v>0.25369999999999998</v>
      </c>
      <c r="F183">
        <v>0</v>
      </c>
      <c r="G183">
        <v>28</v>
      </c>
      <c r="H183">
        <v>28</v>
      </c>
    </row>
    <row r="184" spans="1:8" x14ac:dyDescent="0.3">
      <c r="A184">
        <v>182</v>
      </c>
      <c r="B184">
        <v>183</v>
      </c>
      <c r="C184">
        <v>0.1061</v>
      </c>
      <c r="D184">
        <v>0.39</v>
      </c>
      <c r="E184">
        <v>0.35820000000000002</v>
      </c>
      <c r="F184">
        <v>2</v>
      </c>
      <c r="G184">
        <v>35</v>
      </c>
      <c r="H184">
        <v>37</v>
      </c>
    </row>
    <row r="185" spans="1:8" x14ac:dyDescent="0.3">
      <c r="A185">
        <v>183</v>
      </c>
      <c r="B185">
        <v>184</v>
      </c>
      <c r="C185">
        <v>0.1061</v>
      </c>
      <c r="D185">
        <v>0.36</v>
      </c>
      <c r="E185">
        <v>0.3881</v>
      </c>
      <c r="F185">
        <v>1</v>
      </c>
      <c r="G185">
        <v>33</v>
      </c>
      <c r="H185">
        <v>34</v>
      </c>
    </row>
    <row r="186" spans="1:8" x14ac:dyDescent="0.3">
      <c r="A186">
        <v>184</v>
      </c>
      <c r="B186">
        <v>185</v>
      </c>
      <c r="C186">
        <v>6.0600000000000001E-2</v>
      </c>
      <c r="D186">
        <v>0.39</v>
      </c>
      <c r="E186">
        <v>0.44779999999999998</v>
      </c>
      <c r="F186">
        <v>0</v>
      </c>
      <c r="G186">
        <v>22</v>
      </c>
      <c r="H186">
        <v>22</v>
      </c>
    </row>
    <row r="187" spans="1:8" x14ac:dyDescent="0.3">
      <c r="A187">
        <v>185</v>
      </c>
      <c r="B187">
        <v>186</v>
      </c>
      <c r="C187">
        <v>7.5800000000000006E-2</v>
      </c>
      <c r="D187">
        <v>0.42</v>
      </c>
      <c r="E187">
        <v>0.3881</v>
      </c>
      <c r="F187">
        <v>1</v>
      </c>
      <c r="G187">
        <v>24</v>
      </c>
      <c r="H187">
        <v>25</v>
      </c>
    </row>
    <row r="188" spans="1:8" x14ac:dyDescent="0.3">
      <c r="A188">
        <v>186</v>
      </c>
      <c r="B188">
        <v>187</v>
      </c>
      <c r="C188">
        <v>6.0600000000000001E-2</v>
      </c>
      <c r="D188">
        <v>0.42</v>
      </c>
      <c r="E188">
        <v>0.4627</v>
      </c>
      <c r="F188">
        <v>0</v>
      </c>
      <c r="G188">
        <v>12</v>
      </c>
      <c r="H188">
        <v>12</v>
      </c>
    </row>
    <row r="189" spans="1:8" x14ac:dyDescent="0.3">
      <c r="A189">
        <v>187</v>
      </c>
      <c r="B189">
        <v>188</v>
      </c>
      <c r="C189">
        <v>6.0600000000000001E-2</v>
      </c>
      <c r="D189">
        <v>0.46</v>
      </c>
      <c r="E189">
        <v>0.4627</v>
      </c>
      <c r="F189">
        <v>0</v>
      </c>
      <c r="G189">
        <v>11</v>
      </c>
      <c r="H189">
        <v>11</v>
      </c>
    </row>
    <row r="190" spans="1:8" x14ac:dyDescent="0.3">
      <c r="A190">
        <v>188</v>
      </c>
      <c r="B190">
        <v>189</v>
      </c>
      <c r="C190">
        <v>7.5800000000000006E-2</v>
      </c>
      <c r="D190">
        <v>0.46</v>
      </c>
      <c r="E190">
        <v>0.41789999999999999</v>
      </c>
      <c r="F190">
        <v>0</v>
      </c>
      <c r="G190">
        <v>4</v>
      </c>
      <c r="H190">
        <v>4</v>
      </c>
    </row>
    <row r="191" spans="1:8" x14ac:dyDescent="0.3">
      <c r="A191">
        <v>189</v>
      </c>
      <c r="B191">
        <v>190</v>
      </c>
      <c r="C191">
        <v>9.0899999999999995E-2</v>
      </c>
      <c r="D191">
        <v>0.53</v>
      </c>
      <c r="E191">
        <v>0.19400000000000001</v>
      </c>
      <c r="F191">
        <v>0</v>
      </c>
      <c r="G191">
        <v>1</v>
      </c>
      <c r="H191">
        <v>1</v>
      </c>
    </row>
    <row r="192" spans="1:8" x14ac:dyDescent="0.3">
      <c r="A192">
        <v>190</v>
      </c>
      <c r="B192">
        <v>191</v>
      </c>
      <c r="C192">
        <v>9.0899999999999995E-2</v>
      </c>
      <c r="D192">
        <v>0.53</v>
      </c>
      <c r="E192">
        <v>0.19400000000000001</v>
      </c>
      <c r="F192">
        <v>0</v>
      </c>
      <c r="G192">
        <v>1</v>
      </c>
      <c r="H192">
        <v>1</v>
      </c>
    </row>
    <row r="193" spans="1:8" x14ac:dyDescent="0.3">
      <c r="A193">
        <v>191</v>
      </c>
      <c r="B193">
        <v>192</v>
      </c>
      <c r="C193">
        <v>9.0899999999999995E-2</v>
      </c>
      <c r="D193">
        <v>0.49</v>
      </c>
      <c r="E193">
        <v>0.28360000000000002</v>
      </c>
      <c r="F193">
        <v>0</v>
      </c>
      <c r="G193">
        <v>1</v>
      </c>
      <c r="H193">
        <v>1</v>
      </c>
    </row>
    <row r="194" spans="1:8" x14ac:dyDescent="0.3">
      <c r="A194">
        <v>192</v>
      </c>
      <c r="B194">
        <v>193</v>
      </c>
      <c r="C194">
        <v>9.0899999999999995E-2</v>
      </c>
      <c r="D194">
        <v>0.53</v>
      </c>
      <c r="E194">
        <v>0.19400000000000001</v>
      </c>
      <c r="F194">
        <v>1</v>
      </c>
      <c r="G194">
        <v>5</v>
      </c>
      <c r="H194">
        <v>6</v>
      </c>
    </row>
    <row r="195" spans="1:8" x14ac:dyDescent="0.3">
      <c r="A195">
        <v>193</v>
      </c>
      <c r="B195">
        <v>194</v>
      </c>
      <c r="C195">
        <v>9.0899999999999995E-2</v>
      </c>
      <c r="D195">
        <v>0.49</v>
      </c>
      <c r="E195">
        <v>0.28360000000000002</v>
      </c>
      <c r="F195">
        <v>0</v>
      </c>
      <c r="G195">
        <v>10</v>
      </c>
      <c r="H195">
        <v>10</v>
      </c>
    </row>
    <row r="196" spans="1:8" x14ac:dyDescent="0.3">
      <c r="A196">
        <v>194</v>
      </c>
      <c r="B196">
        <v>195</v>
      </c>
      <c r="C196">
        <v>7.5800000000000006E-2</v>
      </c>
      <c r="D196">
        <v>0.46</v>
      </c>
      <c r="E196">
        <v>0.52239999999999998</v>
      </c>
      <c r="F196">
        <v>0</v>
      </c>
      <c r="G196">
        <v>19</v>
      </c>
      <c r="H196">
        <v>19</v>
      </c>
    </row>
    <row r="197" spans="1:8" x14ac:dyDescent="0.3">
      <c r="A197">
        <v>195</v>
      </c>
      <c r="B197">
        <v>196</v>
      </c>
      <c r="C197">
        <v>0.1061</v>
      </c>
      <c r="D197">
        <v>0.43</v>
      </c>
      <c r="E197">
        <v>0.3881</v>
      </c>
      <c r="F197">
        <v>0</v>
      </c>
      <c r="G197">
        <v>49</v>
      </c>
      <c r="H197">
        <v>49</v>
      </c>
    </row>
    <row r="198" spans="1:8" x14ac:dyDescent="0.3">
      <c r="A198">
        <v>196</v>
      </c>
      <c r="B198">
        <v>197</v>
      </c>
      <c r="C198">
        <v>0.1212</v>
      </c>
      <c r="D198">
        <v>0.4</v>
      </c>
      <c r="E198">
        <v>0.52239999999999998</v>
      </c>
      <c r="F198">
        <v>2</v>
      </c>
      <c r="G198">
        <v>47</v>
      </c>
      <c r="H198">
        <v>49</v>
      </c>
    </row>
    <row r="199" spans="1:8" x14ac:dyDescent="0.3">
      <c r="A199">
        <v>197</v>
      </c>
      <c r="B199">
        <v>198</v>
      </c>
      <c r="C199">
        <v>0.13639999999999999</v>
      </c>
      <c r="D199">
        <v>0.37</v>
      </c>
      <c r="E199">
        <v>0.44779999999999998</v>
      </c>
      <c r="F199">
        <v>4</v>
      </c>
      <c r="G199">
        <v>79</v>
      </c>
      <c r="H199">
        <v>83</v>
      </c>
    </row>
    <row r="200" spans="1:8" x14ac:dyDescent="0.3">
      <c r="A200">
        <v>198</v>
      </c>
      <c r="B200">
        <v>199</v>
      </c>
      <c r="C200">
        <v>0.16669999999999999</v>
      </c>
      <c r="D200">
        <v>0.34</v>
      </c>
      <c r="E200">
        <v>0.44779999999999998</v>
      </c>
      <c r="F200">
        <v>6</v>
      </c>
      <c r="G200">
        <v>69</v>
      </c>
      <c r="H200">
        <v>75</v>
      </c>
    </row>
    <row r="201" spans="1:8" x14ac:dyDescent="0.3">
      <c r="A201">
        <v>199</v>
      </c>
      <c r="B201">
        <v>200</v>
      </c>
      <c r="C201">
        <v>0.18179999999999999</v>
      </c>
      <c r="D201">
        <v>0.32</v>
      </c>
      <c r="E201">
        <v>0.4627</v>
      </c>
      <c r="F201">
        <v>8</v>
      </c>
      <c r="G201">
        <v>64</v>
      </c>
      <c r="H201">
        <v>72</v>
      </c>
    </row>
    <row r="202" spans="1:8" x14ac:dyDescent="0.3">
      <c r="A202">
        <v>200</v>
      </c>
      <c r="B202">
        <v>201</v>
      </c>
      <c r="C202">
        <v>0.19700000000000001</v>
      </c>
      <c r="D202">
        <v>0.35</v>
      </c>
      <c r="E202">
        <v>0.35820000000000002</v>
      </c>
      <c r="F202">
        <v>5</v>
      </c>
      <c r="G202">
        <v>77</v>
      </c>
      <c r="H202">
        <v>82</v>
      </c>
    </row>
    <row r="203" spans="1:8" x14ac:dyDescent="0.3">
      <c r="A203">
        <v>201</v>
      </c>
      <c r="B203">
        <v>202</v>
      </c>
      <c r="C203">
        <v>0.16669999999999999</v>
      </c>
      <c r="D203">
        <v>0.34</v>
      </c>
      <c r="E203">
        <v>0.44779999999999998</v>
      </c>
      <c r="F203">
        <v>13</v>
      </c>
      <c r="G203">
        <v>79</v>
      </c>
      <c r="H203">
        <v>92</v>
      </c>
    </row>
    <row r="204" spans="1:8" x14ac:dyDescent="0.3">
      <c r="A204">
        <v>202</v>
      </c>
      <c r="B204">
        <v>203</v>
      </c>
      <c r="C204">
        <v>0.1515</v>
      </c>
      <c r="D204">
        <v>0.37</v>
      </c>
      <c r="E204">
        <v>0.3881</v>
      </c>
      <c r="F204">
        <v>3</v>
      </c>
      <c r="G204">
        <v>59</v>
      </c>
      <c r="H204">
        <v>62</v>
      </c>
    </row>
    <row r="205" spans="1:8" x14ac:dyDescent="0.3">
      <c r="A205">
        <v>203</v>
      </c>
      <c r="B205">
        <v>204</v>
      </c>
      <c r="C205">
        <v>0.13639999999999999</v>
      </c>
      <c r="D205">
        <v>0.4</v>
      </c>
      <c r="E205">
        <v>0.32840000000000003</v>
      </c>
      <c r="F205">
        <v>4</v>
      </c>
      <c r="G205">
        <v>44</v>
      </c>
      <c r="H205">
        <v>48</v>
      </c>
    </row>
    <row r="206" spans="1:8" x14ac:dyDescent="0.3">
      <c r="A206">
        <v>204</v>
      </c>
      <c r="B206">
        <v>205</v>
      </c>
      <c r="C206">
        <v>0.13639999999999999</v>
      </c>
      <c r="D206">
        <v>0.43</v>
      </c>
      <c r="E206">
        <v>0.32840000000000003</v>
      </c>
      <c r="F206">
        <v>1</v>
      </c>
      <c r="G206">
        <v>40</v>
      </c>
      <c r="H206">
        <v>41</v>
      </c>
    </row>
    <row r="207" spans="1:8" x14ac:dyDescent="0.3">
      <c r="A207">
        <v>205</v>
      </c>
      <c r="B207">
        <v>206</v>
      </c>
      <c r="C207">
        <v>0.1212</v>
      </c>
      <c r="D207">
        <v>0.46</v>
      </c>
      <c r="E207">
        <v>0.25369999999999998</v>
      </c>
      <c r="F207">
        <v>0</v>
      </c>
      <c r="G207">
        <v>38</v>
      </c>
      <c r="H207">
        <v>38</v>
      </c>
    </row>
    <row r="208" spans="1:8" x14ac:dyDescent="0.3">
      <c r="A208">
        <v>206</v>
      </c>
      <c r="B208">
        <v>207</v>
      </c>
      <c r="C208">
        <v>0.1061</v>
      </c>
      <c r="D208">
        <v>0.46</v>
      </c>
      <c r="E208">
        <v>0.41789999999999999</v>
      </c>
      <c r="F208">
        <v>1</v>
      </c>
      <c r="G208">
        <v>19</v>
      </c>
      <c r="H208">
        <v>20</v>
      </c>
    </row>
    <row r="209" spans="1:8" x14ac:dyDescent="0.3">
      <c r="A209">
        <v>207</v>
      </c>
      <c r="B209">
        <v>208</v>
      </c>
      <c r="C209">
        <v>0.1212</v>
      </c>
      <c r="D209">
        <v>0.46</v>
      </c>
      <c r="E209">
        <v>0.29849999999999999</v>
      </c>
      <c r="F209">
        <v>5</v>
      </c>
      <c r="G209">
        <v>10</v>
      </c>
      <c r="H209">
        <v>15</v>
      </c>
    </row>
    <row r="210" spans="1:8" x14ac:dyDescent="0.3">
      <c r="A210">
        <v>208</v>
      </c>
      <c r="B210">
        <v>209</v>
      </c>
      <c r="C210">
        <v>0.13639999999999999</v>
      </c>
      <c r="D210">
        <v>0.5</v>
      </c>
      <c r="E210">
        <v>0.19400000000000001</v>
      </c>
      <c r="F210">
        <v>0</v>
      </c>
      <c r="G210">
        <v>6</v>
      </c>
      <c r="H210">
        <v>6</v>
      </c>
    </row>
    <row r="211" spans="1:8" x14ac:dyDescent="0.3">
      <c r="A211">
        <v>209</v>
      </c>
      <c r="B211">
        <v>210</v>
      </c>
      <c r="C211">
        <v>0.1212</v>
      </c>
      <c r="D211">
        <v>0.5</v>
      </c>
      <c r="E211">
        <v>0.28360000000000002</v>
      </c>
      <c r="F211">
        <v>2</v>
      </c>
      <c r="G211">
        <v>3</v>
      </c>
      <c r="H211">
        <v>5</v>
      </c>
    </row>
    <row r="212" spans="1:8" x14ac:dyDescent="0.3">
      <c r="A212">
        <v>210</v>
      </c>
      <c r="B212">
        <v>211</v>
      </c>
      <c r="C212">
        <v>0.1212</v>
      </c>
      <c r="D212">
        <v>0.5</v>
      </c>
      <c r="E212">
        <v>0.28360000000000002</v>
      </c>
      <c r="F212">
        <v>1</v>
      </c>
      <c r="G212">
        <v>0</v>
      </c>
      <c r="H212">
        <v>1</v>
      </c>
    </row>
    <row r="213" spans="1:8" x14ac:dyDescent="0.3">
      <c r="A213">
        <v>211</v>
      </c>
      <c r="B213">
        <v>212</v>
      </c>
      <c r="C213">
        <v>0.1212</v>
      </c>
      <c r="D213">
        <v>0.5</v>
      </c>
      <c r="E213">
        <v>0.22389999999999999</v>
      </c>
      <c r="F213">
        <v>0</v>
      </c>
      <c r="G213">
        <v>3</v>
      </c>
      <c r="H213">
        <v>3</v>
      </c>
    </row>
    <row r="214" spans="1:8" x14ac:dyDescent="0.3">
      <c r="A214">
        <v>212</v>
      </c>
      <c r="B214">
        <v>213</v>
      </c>
      <c r="C214">
        <v>0.1212</v>
      </c>
      <c r="D214">
        <v>0.5</v>
      </c>
      <c r="E214">
        <v>0.22389999999999999</v>
      </c>
      <c r="F214">
        <v>0</v>
      </c>
      <c r="G214">
        <v>1</v>
      </c>
      <c r="H214">
        <v>1</v>
      </c>
    </row>
    <row r="215" spans="1:8" x14ac:dyDescent="0.3">
      <c r="A215">
        <v>213</v>
      </c>
      <c r="B215">
        <v>214</v>
      </c>
      <c r="C215">
        <v>0.1212</v>
      </c>
      <c r="D215">
        <v>0.54</v>
      </c>
      <c r="E215">
        <v>0.1343</v>
      </c>
      <c r="F215">
        <v>1</v>
      </c>
      <c r="G215">
        <v>2</v>
      </c>
      <c r="H215">
        <v>3</v>
      </c>
    </row>
    <row r="216" spans="1:8" x14ac:dyDescent="0.3">
      <c r="A216">
        <v>214</v>
      </c>
      <c r="B216">
        <v>215</v>
      </c>
      <c r="C216">
        <v>0.1061</v>
      </c>
      <c r="D216">
        <v>0.54</v>
      </c>
      <c r="E216">
        <v>0.25369999999999998</v>
      </c>
      <c r="F216">
        <v>0</v>
      </c>
      <c r="G216">
        <v>3</v>
      </c>
      <c r="H216">
        <v>3</v>
      </c>
    </row>
    <row r="217" spans="1:8" x14ac:dyDescent="0.3">
      <c r="A217">
        <v>215</v>
      </c>
      <c r="B217">
        <v>216</v>
      </c>
      <c r="C217">
        <v>0.1212</v>
      </c>
      <c r="D217">
        <v>0.5</v>
      </c>
      <c r="E217">
        <v>0.28360000000000002</v>
      </c>
      <c r="F217">
        <v>0</v>
      </c>
      <c r="G217">
        <v>31</v>
      </c>
      <c r="H217">
        <v>31</v>
      </c>
    </row>
    <row r="218" spans="1:8" x14ac:dyDescent="0.3">
      <c r="A218">
        <v>216</v>
      </c>
      <c r="B218">
        <v>217</v>
      </c>
      <c r="C218">
        <v>0.1212</v>
      </c>
      <c r="D218">
        <v>0.5</v>
      </c>
      <c r="E218">
        <v>0.22389999999999999</v>
      </c>
      <c r="F218">
        <v>2</v>
      </c>
      <c r="G218">
        <v>75</v>
      </c>
      <c r="H218">
        <v>77</v>
      </c>
    </row>
    <row r="219" spans="1:8" x14ac:dyDescent="0.3">
      <c r="A219">
        <v>217</v>
      </c>
      <c r="B219">
        <v>218</v>
      </c>
      <c r="C219">
        <v>0.1212</v>
      </c>
      <c r="D219">
        <v>0.5</v>
      </c>
      <c r="E219">
        <v>0.28360000000000002</v>
      </c>
      <c r="F219">
        <v>4</v>
      </c>
      <c r="G219">
        <v>184</v>
      </c>
      <c r="H219">
        <v>188</v>
      </c>
    </row>
    <row r="220" spans="1:8" x14ac:dyDescent="0.3">
      <c r="A220">
        <v>218</v>
      </c>
      <c r="B220">
        <v>219</v>
      </c>
      <c r="C220">
        <v>0.1212</v>
      </c>
      <c r="D220">
        <v>0.5</v>
      </c>
      <c r="E220">
        <v>0.25369999999999998</v>
      </c>
      <c r="F220">
        <v>2</v>
      </c>
      <c r="G220">
        <v>92</v>
      </c>
      <c r="H220">
        <v>94</v>
      </c>
    </row>
    <row r="221" spans="1:8" x14ac:dyDescent="0.3">
      <c r="A221">
        <v>219</v>
      </c>
      <c r="B221">
        <v>220</v>
      </c>
      <c r="C221">
        <v>0.1212</v>
      </c>
      <c r="D221">
        <v>0.5</v>
      </c>
      <c r="E221">
        <v>0.29849999999999999</v>
      </c>
      <c r="F221">
        <v>0</v>
      </c>
      <c r="G221">
        <v>31</v>
      </c>
      <c r="H221">
        <v>31</v>
      </c>
    </row>
    <row r="222" spans="1:8" x14ac:dyDescent="0.3">
      <c r="A222">
        <v>220</v>
      </c>
      <c r="B222">
        <v>221</v>
      </c>
      <c r="C222">
        <v>0.13639999999999999</v>
      </c>
      <c r="D222">
        <v>0.47</v>
      </c>
      <c r="E222">
        <v>0.28360000000000002</v>
      </c>
      <c r="F222">
        <v>2</v>
      </c>
      <c r="G222">
        <v>28</v>
      </c>
      <c r="H222">
        <v>30</v>
      </c>
    </row>
    <row r="223" spans="1:8" x14ac:dyDescent="0.3">
      <c r="A223">
        <v>221</v>
      </c>
      <c r="B223">
        <v>222</v>
      </c>
      <c r="C223">
        <v>0.18179999999999999</v>
      </c>
      <c r="D223">
        <v>0.4</v>
      </c>
      <c r="E223">
        <v>0.28360000000000002</v>
      </c>
      <c r="F223">
        <v>5</v>
      </c>
      <c r="G223">
        <v>47</v>
      </c>
      <c r="H223">
        <v>52</v>
      </c>
    </row>
    <row r="224" spans="1:8" x14ac:dyDescent="0.3">
      <c r="A224">
        <v>222</v>
      </c>
      <c r="B224">
        <v>223</v>
      </c>
      <c r="C224">
        <v>0.18179999999999999</v>
      </c>
      <c r="D224">
        <v>0.4</v>
      </c>
      <c r="E224">
        <v>0.28360000000000002</v>
      </c>
      <c r="F224">
        <v>4</v>
      </c>
      <c r="G224">
        <v>50</v>
      </c>
      <c r="H224">
        <v>54</v>
      </c>
    </row>
    <row r="225" spans="1:8" x14ac:dyDescent="0.3">
      <c r="A225">
        <v>223</v>
      </c>
      <c r="B225">
        <v>224</v>
      </c>
      <c r="C225">
        <v>0.19700000000000001</v>
      </c>
      <c r="D225">
        <v>0.4</v>
      </c>
      <c r="E225">
        <v>0.22389999999999999</v>
      </c>
      <c r="F225">
        <v>0</v>
      </c>
      <c r="G225">
        <v>47</v>
      </c>
      <c r="H225">
        <v>47</v>
      </c>
    </row>
    <row r="226" spans="1:8" x14ac:dyDescent="0.3">
      <c r="A226">
        <v>224</v>
      </c>
      <c r="B226">
        <v>225</v>
      </c>
      <c r="C226">
        <v>0.19700000000000001</v>
      </c>
      <c r="D226">
        <v>0.4</v>
      </c>
      <c r="E226">
        <v>0.22389999999999999</v>
      </c>
      <c r="F226">
        <v>2</v>
      </c>
      <c r="G226">
        <v>43</v>
      </c>
      <c r="H226">
        <v>45</v>
      </c>
    </row>
    <row r="227" spans="1:8" x14ac:dyDescent="0.3">
      <c r="A227">
        <v>225</v>
      </c>
      <c r="B227">
        <v>226</v>
      </c>
      <c r="C227">
        <v>0.21210000000000001</v>
      </c>
      <c r="D227">
        <v>0.4</v>
      </c>
      <c r="E227">
        <v>0.1343</v>
      </c>
      <c r="F227">
        <v>4</v>
      </c>
      <c r="G227">
        <v>70</v>
      </c>
      <c r="H227">
        <v>74</v>
      </c>
    </row>
    <row r="228" spans="1:8" x14ac:dyDescent="0.3">
      <c r="A228">
        <v>226</v>
      </c>
      <c r="B228">
        <v>227</v>
      </c>
      <c r="C228">
        <v>0.2273</v>
      </c>
      <c r="D228">
        <v>0.4</v>
      </c>
      <c r="E228">
        <v>0.1045</v>
      </c>
      <c r="F228">
        <v>4</v>
      </c>
      <c r="G228">
        <v>174</v>
      </c>
      <c r="H228">
        <v>178</v>
      </c>
    </row>
    <row r="229" spans="1:8" x14ac:dyDescent="0.3">
      <c r="A229">
        <v>227</v>
      </c>
      <c r="B229">
        <v>228</v>
      </c>
      <c r="C229">
        <v>0.19700000000000001</v>
      </c>
      <c r="D229">
        <v>0.4</v>
      </c>
      <c r="E229">
        <v>0.22389999999999999</v>
      </c>
      <c r="F229">
        <v>1</v>
      </c>
      <c r="G229">
        <v>154</v>
      </c>
      <c r="H229">
        <v>155</v>
      </c>
    </row>
    <row r="230" spans="1:8" x14ac:dyDescent="0.3">
      <c r="A230">
        <v>228</v>
      </c>
      <c r="B230">
        <v>229</v>
      </c>
      <c r="C230">
        <v>0.16669999999999999</v>
      </c>
      <c r="D230">
        <v>0.47</v>
      </c>
      <c r="E230">
        <v>0.16420000000000001</v>
      </c>
      <c r="F230">
        <v>3</v>
      </c>
      <c r="G230">
        <v>92</v>
      </c>
      <c r="H230">
        <v>95</v>
      </c>
    </row>
    <row r="231" spans="1:8" x14ac:dyDescent="0.3">
      <c r="A231">
        <v>229</v>
      </c>
      <c r="B231">
        <v>230</v>
      </c>
      <c r="C231">
        <v>0.16669999999999999</v>
      </c>
      <c r="D231">
        <v>0.5</v>
      </c>
      <c r="E231">
        <v>0.16420000000000001</v>
      </c>
      <c r="F231">
        <v>1</v>
      </c>
      <c r="G231">
        <v>73</v>
      </c>
      <c r="H231">
        <v>74</v>
      </c>
    </row>
    <row r="232" spans="1:8" x14ac:dyDescent="0.3">
      <c r="A232">
        <v>230</v>
      </c>
      <c r="B232">
        <v>231</v>
      </c>
      <c r="C232">
        <v>0.13639999999999999</v>
      </c>
      <c r="D232">
        <v>0.59</v>
      </c>
      <c r="E232">
        <v>0.19400000000000001</v>
      </c>
      <c r="F232">
        <v>1</v>
      </c>
      <c r="G232">
        <v>37</v>
      </c>
      <c r="H232">
        <v>38</v>
      </c>
    </row>
    <row r="233" spans="1:8" x14ac:dyDescent="0.3">
      <c r="A233">
        <v>231</v>
      </c>
      <c r="B233">
        <v>232</v>
      </c>
      <c r="C233">
        <v>0.1515</v>
      </c>
      <c r="D233">
        <v>0.59</v>
      </c>
      <c r="E233">
        <v>0.16420000000000001</v>
      </c>
      <c r="F233">
        <v>2</v>
      </c>
      <c r="G233">
        <v>22</v>
      </c>
      <c r="H233">
        <v>24</v>
      </c>
    </row>
    <row r="234" spans="1:8" x14ac:dyDescent="0.3">
      <c r="A234">
        <v>232</v>
      </c>
      <c r="B234">
        <v>233</v>
      </c>
      <c r="C234">
        <v>0.1515</v>
      </c>
      <c r="D234">
        <v>0.59</v>
      </c>
      <c r="E234">
        <v>0.16420000000000001</v>
      </c>
      <c r="F234">
        <v>0</v>
      </c>
      <c r="G234">
        <v>18</v>
      </c>
      <c r="H234">
        <v>18</v>
      </c>
    </row>
    <row r="235" spans="1:8" x14ac:dyDescent="0.3">
      <c r="A235">
        <v>233</v>
      </c>
      <c r="B235">
        <v>234</v>
      </c>
      <c r="C235">
        <v>0.16669999999999999</v>
      </c>
      <c r="D235">
        <v>0.59</v>
      </c>
      <c r="E235">
        <v>0.1045</v>
      </c>
      <c r="F235">
        <v>2</v>
      </c>
      <c r="G235">
        <v>10</v>
      </c>
      <c r="H235">
        <v>12</v>
      </c>
    </row>
    <row r="236" spans="1:8" x14ac:dyDescent="0.3">
      <c r="A236">
        <v>234</v>
      </c>
      <c r="B236">
        <v>235</v>
      </c>
      <c r="C236">
        <v>0.1515</v>
      </c>
      <c r="D236">
        <v>0.59</v>
      </c>
      <c r="E236">
        <v>0.16420000000000001</v>
      </c>
      <c r="F236">
        <v>0</v>
      </c>
      <c r="G236">
        <v>3</v>
      </c>
      <c r="H236">
        <v>3</v>
      </c>
    </row>
    <row r="237" spans="1:8" x14ac:dyDescent="0.3">
      <c r="A237">
        <v>235</v>
      </c>
      <c r="B237">
        <v>236</v>
      </c>
      <c r="C237">
        <v>0.1515</v>
      </c>
      <c r="D237">
        <v>0.55000000000000004</v>
      </c>
      <c r="E237">
        <v>0.19400000000000001</v>
      </c>
      <c r="F237">
        <v>0</v>
      </c>
      <c r="G237">
        <v>3</v>
      </c>
      <c r="H237">
        <v>3</v>
      </c>
    </row>
    <row r="238" spans="1:8" x14ac:dyDescent="0.3">
      <c r="A238">
        <v>236</v>
      </c>
      <c r="B238">
        <v>237</v>
      </c>
      <c r="C238">
        <v>0.18179999999999999</v>
      </c>
      <c r="D238">
        <v>0.55000000000000004</v>
      </c>
      <c r="E238">
        <v>0.1343</v>
      </c>
      <c r="F238">
        <v>0</v>
      </c>
      <c r="G238">
        <v>6</v>
      </c>
      <c r="H238">
        <v>6</v>
      </c>
    </row>
    <row r="239" spans="1:8" x14ac:dyDescent="0.3">
      <c r="A239">
        <v>237</v>
      </c>
      <c r="B239">
        <v>238</v>
      </c>
      <c r="C239">
        <v>0.18179999999999999</v>
      </c>
      <c r="D239">
        <v>0.55000000000000004</v>
      </c>
      <c r="E239">
        <v>0.1343</v>
      </c>
      <c r="F239">
        <v>0</v>
      </c>
      <c r="G239">
        <v>27</v>
      </c>
      <c r="H239">
        <v>27</v>
      </c>
    </row>
    <row r="240" spans="1:8" x14ac:dyDescent="0.3">
      <c r="A240">
        <v>238</v>
      </c>
      <c r="B240">
        <v>239</v>
      </c>
      <c r="C240">
        <v>0.2273</v>
      </c>
      <c r="D240">
        <v>0.55000000000000004</v>
      </c>
      <c r="E240">
        <v>0</v>
      </c>
      <c r="F240">
        <v>2</v>
      </c>
      <c r="G240">
        <v>97</v>
      </c>
      <c r="H240">
        <v>99</v>
      </c>
    </row>
    <row r="241" spans="1:8" x14ac:dyDescent="0.3">
      <c r="A241">
        <v>239</v>
      </c>
      <c r="B241">
        <v>240</v>
      </c>
      <c r="C241">
        <v>0.21210000000000001</v>
      </c>
      <c r="D241">
        <v>0.51</v>
      </c>
      <c r="E241">
        <v>8.9599999999999999E-2</v>
      </c>
      <c r="F241">
        <v>3</v>
      </c>
      <c r="G241">
        <v>214</v>
      </c>
      <c r="H241">
        <v>217</v>
      </c>
    </row>
    <row r="242" spans="1:8" x14ac:dyDescent="0.3">
      <c r="A242">
        <v>240</v>
      </c>
      <c r="B242">
        <v>241</v>
      </c>
      <c r="C242">
        <v>0.19700000000000001</v>
      </c>
      <c r="D242">
        <v>0.51</v>
      </c>
      <c r="E242">
        <v>0.16420000000000001</v>
      </c>
      <c r="F242">
        <v>3</v>
      </c>
      <c r="G242">
        <v>127</v>
      </c>
      <c r="H242">
        <v>130</v>
      </c>
    </row>
    <row r="243" spans="1:8" x14ac:dyDescent="0.3">
      <c r="A243">
        <v>241</v>
      </c>
      <c r="B243">
        <v>242</v>
      </c>
      <c r="C243">
        <v>0.21210000000000001</v>
      </c>
      <c r="D243">
        <v>0.51</v>
      </c>
      <c r="E243">
        <v>0.16420000000000001</v>
      </c>
      <c r="F243">
        <v>3</v>
      </c>
      <c r="G243">
        <v>51</v>
      </c>
      <c r="H243">
        <v>54</v>
      </c>
    </row>
    <row r="244" spans="1:8" x14ac:dyDescent="0.3">
      <c r="A244">
        <v>242</v>
      </c>
      <c r="B244">
        <v>243</v>
      </c>
      <c r="C244">
        <v>0.21210000000000001</v>
      </c>
      <c r="D244">
        <v>0.47</v>
      </c>
      <c r="E244">
        <v>0.1343</v>
      </c>
      <c r="F244">
        <v>4</v>
      </c>
      <c r="G244">
        <v>31</v>
      </c>
      <c r="H244">
        <v>35</v>
      </c>
    </row>
    <row r="245" spans="1:8" x14ac:dyDescent="0.3">
      <c r="A245">
        <v>243</v>
      </c>
      <c r="B245">
        <v>244</v>
      </c>
      <c r="C245">
        <v>0.2273</v>
      </c>
      <c r="D245">
        <v>0.51</v>
      </c>
      <c r="E245">
        <v>0.1045</v>
      </c>
      <c r="F245">
        <v>2</v>
      </c>
      <c r="G245">
        <v>55</v>
      </c>
      <c r="H245">
        <v>57</v>
      </c>
    </row>
    <row r="246" spans="1:8" x14ac:dyDescent="0.3">
      <c r="A246">
        <v>244</v>
      </c>
      <c r="B246">
        <v>245</v>
      </c>
      <c r="C246">
        <v>0.2273</v>
      </c>
      <c r="D246">
        <v>0.59</v>
      </c>
      <c r="E246">
        <v>8.9599999999999999E-2</v>
      </c>
      <c r="F246">
        <v>6</v>
      </c>
      <c r="G246">
        <v>46</v>
      </c>
      <c r="H246">
        <v>52</v>
      </c>
    </row>
    <row r="247" spans="1:8" x14ac:dyDescent="0.3">
      <c r="A247">
        <v>245</v>
      </c>
      <c r="B247">
        <v>246</v>
      </c>
      <c r="C247">
        <v>0.2273</v>
      </c>
      <c r="D247">
        <v>0.59</v>
      </c>
      <c r="E247">
        <v>8.9599999999999999E-2</v>
      </c>
      <c r="F247">
        <v>3</v>
      </c>
      <c r="G247">
        <v>60</v>
      </c>
      <c r="H247">
        <v>63</v>
      </c>
    </row>
    <row r="248" spans="1:8" x14ac:dyDescent="0.3">
      <c r="A248">
        <v>246</v>
      </c>
      <c r="B248">
        <v>247</v>
      </c>
      <c r="C248">
        <v>0.19700000000000001</v>
      </c>
      <c r="D248">
        <v>0.8</v>
      </c>
      <c r="E248">
        <v>8.9599999999999999E-2</v>
      </c>
      <c r="F248">
        <v>2</v>
      </c>
      <c r="G248">
        <v>45</v>
      </c>
      <c r="H248">
        <v>47</v>
      </c>
    </row>
    <row r="249" spans="1:8" x14ac:dyDescent="0.3">
      <c r="A249">
        <v>247</v>
      </c>
      <c r="B249">
        <v>248</v>
      </c>
      <c r="C249">
        <v>0.1515</v>
      </c>
      <c r="D249">
        <v>0.86</v>
      </c>
      <c r="E249">
        <v>0.22389999999999999</v>
      </c>
      <c r="F249">
        <v>4</v>
      </c>
      <c r="G249">
        <v>72</v>
      </c>
      <c r="H249">
        <v>76</v>
      </c>
    </row>
    <row r="250" spans="1:8" x14ac:dyDescent="0.3">
      <c r="A250">
        <v>248</v>
      </c>
      <c r="B250">
        <v>249</v>
      </c>
      <c r="C250">
        <v>0.1515</v>
      </c>
      <c r="D250">
        <v>0.86</v>
      </c>
      <c r="E250">
        <v>0.22389999999999999</v>
      </c>
      <c r="F250">
        <v>6</v>
      </c>
      <c r="G250">
        <v>130</v>
      </c>
      <c r="H250">
        <v>136</v>
      </c>
    </row>
    <row r="251" spans="1:8" x14ac:dyDescent="0.3">
      <c r="A251">
        <v>249</v>
      </c>
      <c r="B251">
        <v>250</v>
      </c>
      <c r="C251">
        <v>0.18179999999999999</v>
      </c>
      <c r="D251">
        <v>0.93</v>
      </c>
      <c r="E251">
        <v>0.1045</v>
      </c>
      <c r="F251">
        <v>1</v>
      </c>
      <c r="G251">
        <v>94</v>
      </c>
      <c r="H251">
        <v>95</v>
      </c>
    </row>
    <row r="252" spans="1:8" x14ac:dyDescent="0.3">
      <c r="A252">
        <v>250</v>
      </c>
      <c r="B252">
        <v>251</v>
      </c>
      <c r="C252">
        <v>0.2273</v>
      </c>
      <c r="D252">
        <v>0.93</v>
      </c>
      <c r="E252">
        <v>0</v>
      </c>
      <c r="F252">
        <v>0</v>
      </c>
      <c r="G252">
        <v>51</v>
      </c>
      <c r="H252">
        <v>51</v>
      </c>
    </row>
    <row r="253" spans="1:8" x14ac:dyDescent="0.3">
      <c r="A253">
        <v>251</v>
      </c>
      <c r="B253">
        <v>252</v>
      </c>
      <c r="C253">
        <v>0.1515</v>
      </c>
      <c r="D253">
        <v>0.93</v>
      </c>
      <c r="E253">
        <v>0.19400000000000001</v>
      </c>
      <c r="F253">
        <v>0</v>
      </c>
      <c r="G253">
        <v>32</v>
      </c>
      <c r="H253">
        <v>32</v>
      </c>
    </row>
    <row r="254" spans="1:8" x14ac:dyDescent="0.3">
      <c r="A254">
        <v>252</v>
      </c>
      <c r="B254">
        <v>253</v>
      </c>
      <c r="C254">
        <v>0.19700000000000001</v>
      </c>
      <c r="D254">
        <v>0.86</v>
      </c>
      <c r="E254">
        <v>8.9599999999999999E-2</v>
      </c>
      <c r="F254">
        <v>0</v>
      </c>
      <c r="G254">
        <v>20</v>
      </c>
      <c r="H254">
        <v>20</v>
      </c>
    </row>
    <row r="255" spans="1:8" x14ac:dyDescent="0.3">
      <c r="A255">
        <v>253</v>
      </c>
      <c r="B255">
        <v>254</v>
      </c>
      <c r="C255">
        <v>0.18179999999999999</v>
      </c>
      <c r="D255">
        <v>0.93</v>
      </c>
      <c r="E255">
        <v>0.1045</v>
      </c>
      <c r="F255">
        <v>1</v>
      </c>
      <c r="G255">
        <v>28</v>
      </c>
      <c r="H255">
        <v>29</v>
      </c>
    </row>
    <row r="256" spans="1:8" x14ac:dyDescent="0.3">
      <c r="A256">
        <v>254</v>
      </c>
      <c r="B256">
        <v>255</v>
      </c>
      <c r="C256">
        <v>0.19700000000000001</v>
      </c>
      <c r="D256">
        <v>0.93</v>
      </c>
      <c r="E256">
        <v>8.9599999999999999E-2</v>
      </c>
      <c r="F256">
        <v>1</v>
      </c>
      <c r="G256">
        <v>18</v>
      </c>
      <c r="H256">
        <v>19</v>
      </c>
    </row>
    <row r="257" spans="1:8" x14ac:dyDescent="0.3">
      <c r="A257">
        <v>255</v>
      </c>
      <c r="B257">
        <v>256</v>
      </c>
      <c r="C257">
        <v>0.19700000000000001</v>
      </c>
      <c r="D257">
        <v>0.86</v>
      </c>
      <c r="E257">
        <v>8.9599999999999999E-2</v>
      </c>
      <c r="F257">
        <v>0</v>
      </c>
      <c r="G257">
        <v>7</v>
      </c>
      <c r="H257">
        <v>7</v>
      </c>
    </row>
    <row r="258" spans="1:8" x14ac:dyDescent="0.3">
      <c r="A258">
        <v>256</v>
      </c>
      <c r="B258">
        <v>257</v>
      </c>
      <c r="C258">
        <v>0.18179999999999999</v>
      </c>
      <c r="D258">
        <v>0.86</v>
      </c>
      <c r="E258">
        <v>0.1045</v>
      </c>
      <c r="F258">
        <v>0</v>
      </c>
      <c r="G258">
        <v>6</v>
      </c>
      <c r="H258">
        <v>6</v>
      </c>
    </row>
    <row r="259" spans="1:8" x14ac:dyDescent="0.3">
      <c r="A259">
        <v>257</v>
      </c>
      <c r="B259">
        <v>258</v>
      </c>
      <c r="C259">
        <v>0.1515</v>
      </c>
      <c r="D259">
        <v>0.86</v>
      </c>
      <c r="E259">
        <v>0.1343</v>
      </c>
      <c r="F259">
        <v>0</v>
      </c>
      <c r="G259">
        <v>1</v>
      </c>
      <c r="H259">
        <v>1</v>
      </c>
    </row>
    <row r="260" spans="1:8" x14ac:dyDescent="0.3">
      <c r="A260">
        <v>258</v>
      </c>
      <c r="B260">
        <v>259</v>
      </c>
      <c r="C260">
        <v>0.1515</v>
      </c>
      <c r="D260">
        <v>0.86</v>
      </c>
      <c r="E260">
        <v>0.16420000000000001</v>
      </c>
      <c r="F260">
        <v>0</v>
      </c>
      <c r="G260">
        <v>5</v>
      </c>
      <c r="H260">
        <v>5</v>
      </c>
    </row>
    <row r="261" spans="1:8" x14ac:dyDescent="0.3">
      <c r="A261">
        <v>259</v>
      </c>
      <c r="B261">
        <v>260</v>
      </c>
      <c r="C261">
        <v>0.1515</v>
      </c>
      <c r="D261">
        <v>0.93</v>
      </c>
      <c r="E261">
        <v>0.1343</v>
      </c>
      <c r="F261">
        <v>0</v>
      </c>
      <c r="G261">
        <v>16</v>
      </c>
      <c r="H261">
        <v>16</v>
      </c>
    </row>
    <row r="262" spans="1:8" x14ac:dyDescent="0.3">
      <c r="A262">
        <v>260</v>
      </c>
      <c r="B262">
        <v>261</v>
      </c>
      <c r="C262">
        <v>0.1515</v>
      </c>
      <c r="D262">
        <v>0.69</v>
      </c>
      <c r="E262">
        <v>0.1343</v>
      </c>
      <c r="F262">
        <v>0</v>
      </c>
      <c r="G262">
        <v>54</v>
      </c>
      <c r="H262">
        <v>54</v>
      </c>
    </row>
    <row r="263" spans="1:8" x14ac:dyDescent="0.3">
      <c r="A263">
        <v>261</v>
      </c>
      <c r="B263">
        <v>262</v>
      </c>
      <c r="C263">
        <v>0.16669999999999999</v>
      </c>
      <c r="D263">
        <v>0.59</v>
      </c>
      <c r="E263">
        <v>0.16420000000000001</v>
      </c>
      <c r="F263">
        <v>3</v>
      </c>
      <c r="G263">
        <v>125</v>
      </c>
      <c r="H263">
        <v>128</v>
      </c>
    </row>
    <row r="264" spans="1:8" x14ac:dyDescent="0.3">
      <c r="A264">
        <v>262</v>
      </c>
      <c r="B264">
        <v>263</v>
      </c>
      <c r="C264">
        <v>0.13639999999999999</v>
      </c>
      <c r="D264">
        <v>0.59</v>
      </c>
      <c r="E264">
        <v>0.32840000000000003</v>
      </c>
      <c r="F264">
        <v>3</v>
      </c>
      <c r="G264">
        <v>78</v>
      </c>
      <c r="H264">
        <v>81</v>
      </c>
    </row>
    <row r="265" spans="1:8" x14ac:dyDescent="0.3">
      <c r="A265">
        <v>263</v>
      </c>
      <c r="B265">
        <v>264</v>
      </c>
      <c r="C265">
        <v>0.18179999999999999</v>
      </c>
      <c r="D265">
        <v>0.55000000000000004</v>
      </c>
      <c r="E265">
        <v>0.22389999999999999</v>
      </c>
      <c r="F265">
        <v>0</v>
      </c>
      <c r="G265">
        <v>39</v>
      </c>
      <c r="H265">
        <v>39</v>
      </c>
    </row>
    <row r="266" spans="1:8" x14ac:dyDescent="0.3">
      <c r="A266">
        <v>264</v>
      </c>
      <c r="B266">
        <v>265</v>
      </c>
      <c r="C266">
        <v>0.18179999999999999</v>
      </c>
      <c r="D266">
        <v>0.51</v>
      </c>
      <c r="E266">
        <v>0.3881</v>
      </c>
      <c r="F266">
        <v>3</v>
      </c>
      <c r="G266">
        <v>32</v>
      </c>
      <c r="H266">
        <v>35</v>
      </c>
    </row>
    <row r="267" spans="1:8" x14ac:dyDescent="0.3">
      <c r="A267">
        <v>265</v>
      </c>
      <c r="B267">
        <v>266</v>
      </c>
      <c r="C267">
        <v>0.1515</v>
      </c>
      <c r="D267">
        <v>0.47</v>
      </c>
      <c r="E267">
        <v>0.58209999999999995</v>
      </c>
      <c r="F267">
        <v>3</v>
      </c>
      <c r="G267">
        <v>52</v>
      </c>
      <c r="H267">
        <v>55</v>
      </c>
    </row>
    <row r="268" spans="1:8" x14ac:dyDescent="0.3">
      <c r="A268">
        <v>266</v>
      </c>
      <c r="B268">
        <v>267</v>
      </c>
      <c r="C268">
        <v>0.19700000000000001</v>
      </c>
      <c r="D268">
        <v>0.44</v>
      </c>
      <c r="E268">
        <v>0.35820000000000002</v>
      </c>
      <c r="F268">
        <v>0</v>
      </c>
      <c r="G268">
        <v>49</v>
      </c>
      <c r="H268">
        <v>49</v>
      </c>
    </row>
    <row r="269" spans="1:8" x14ac:dyDescent="0.3">
      <c r="A269">
        <v>267</v>
      </c>
      <c r="B269">
        <v>268</v>
      </c>
      <c r="C269">
        <v>0.18179999999999999</v>
      </c>
      <c r="D269">
        <v>0.47</v>
      </c>
      <c r="E269">
        <v>0.32840000000000003</v>
      </c>
      <c r="F269">
        <v>0</v>
      </c>
      <c r="G269">
        <v>44</v>
      </c>
      <c r="H269">
        <v>44</v>
      </c>
    </row>
    <row r="270" spans="1:8" x14ac:dyDescent="0.3">
      <c r="A270">
        <v>268</v>
      </c>
      <c r="B270">
        <v>269</v>
      </c>
      <c r="C270">
        <v>0.16669999999999999</v>
      </c>
      <c r="D270">
        <v>0.47</v>
      </c>
      <c r="E270">
        <v>0.41789999999999999</v>
      </c>
      <c r="F270">
        <v>1</v>
      </c>
      <c r="G270">
        <v>48</v>
      </c>
      <c r="H270">
        <v>49</v>
      </c>
    </row>
    <row r="271" spans="1:8" x14ac:dyDescent="0.3">
      <c r="A271">
        <v>269</v>
      </c>
      <c r="B271">
        <v>270</v>
      </c>
      <c r="C271">
        <v>0.19700000000000001</v>
      </c>
      <c r="D271">
        <v>0.44</v>
      </c>
      <c r="E271">
        <v>0.32840000000000003</v>
      </c>
      <c r="F271">
        <v>5</v>
      </c>
      <c r="G271">
        <v>63</v>
      </c>
      <c r="H271">
        <v>68</v>
      </c>
    </row>
    <row r="272" spans="1:8" x14ac:dyDescent="0.3">
      <c r="A272">
        <v>270</v>
      </c>
      <c r="B272">
        <v>271</v>
      </c>
      <c r="C272">
        <v>0.18179999999999999</v>
      </c>
      <c r="D272">
        <v>0.47</v>
      </c>
      <c r="E272">
        <v>0.35820000000000002</v>
      </c>
      <c r="F272">
        <v>0</v>
      </c>
      <c r="G272">
        <v>139</v>
      </c>
      <c r="H272">
        <v>139</v>
      </c>
    </row>
    <row r="273" spans="1:8" x14ac:dyDescent="0.3">
      <c r="A273">
        <v>271</v>
      </c>
      <c r="B273">
        <v>272</v>
      </c>
      <c r="C273">
        <v>0.1515</v>
      </c>
      <c r="D273">
        <v>0.47</v>
      </c>
      <c r="E273">
        <v>0.52239999999999998</v>
      </c>
      <c r="F273">
        <v>2</v>
      </c>
      <c r="G273">
        <v>135</v>
      </c>
      <c r="H273">
        <v>137</v>
      </c>
    </row>
    <row r="274" spans="1:8" x14ac:dyDescent="0.3">
      <c r="A274">
        <v>272</v>
      </c>
      <c r="B274">
        <v>273</v>
      </c>
      <c r="C274">
        <v>0.1515</v>
      </c>
      <c r="D274">
        <v>0.47</v>
      </c>
      <c r="E274">
        <v>0.41789999999999999</v>
      </c>
      <c r="F274">
        <v>1</v>
      </c>
      <c r="G274">
        <v>82</v>
      </c>
      <c r="H274">
        <v>83</v>
      </c>
    </row>
    <row r="275" spans="1:8" x14ac:dyDescent="0.3">
      <c r="A275">
        <v>273</v>
      </c>
      <c r="B275">
        <v>274</v>
      </c>
      <c r="C275">
        <v>0.13639999999999999</v>
      </c>
      <c r="D275">
        <v>0.5</v>
      </c>
      <c r="E275">
        <v>0.32840000000000003</v>
      </c>
      <c r="F275">
        <v>2</v>
      </c>
      <c r="G275">
        <v>54</v>
      </c>
      <c r="H275">
        <v>56</v>
      </c>
    </row>
    <row r="276" spans="1:8" x14ac:dyDescent="0.3">
      <c r="A276">
        <v>274</v>
      </c>
      <c r="B276">
        <v>275</v>
      </c>
      <c r="C276">
        <v>0.13639999999999999</v>
      </c>
      <c r="D276">
        <v>0.55000000000000004</v>
      </c>
      <c r="E276">
        <v>0.32840000000000003</v>
      </c>
      <c r="F276">
        <v>0</v>
      </c>
      <c r="G276">
        <v>57</v>
      </c>
      <c r="H276">
        <v>57</v>
      </c>
    </row>
    <row r="277" spans="1:8" x14ac:dyDescent="0.3">
      <c r="A277">
        <v>275</v>
      </c>
      <c r="B277">
        <v>276</v>
      </c>
      <c r="C277">
        <v>0.1212</v>
      </c>
      <c r="D277">
        <v>0.55000000000000004</v>
      </c>
      <c r="E277">
        <v>0.44779999999999998</v>
      </c>
      <c r="F277">
        <v>1</v>
      </c>
      <c r="G277">
        <v>32</v>
      </c>
      <c r="H277">
        <v>33</v>
      </c>
    </row>
    <row r="278" spans="1:8" x14ac:dyDescent="0.3">
      <c r="A278">
        <v>276</v>
      </c>
      <c r="B278">
        <v>277</v>
      </c>
      <c r="C278">
        <v>0.1061</v>
      </c>
      <c r="D278">
        <v>0.59</v>
      </c>
      <c r="E278">
        <v>0.41789999999999999</v>
      </c>
      <c r="F278">
        <v>1</v>
      </c>
      <c r="G278">
        <v>19</v>
      </c>
      <c r="H278">
        <v>20</v>
      </c>
    </row>
    <row r="279" spans="1:8" x14ac:dyDescent="0.3">
      <c r="A279">
        <v>277</v>
      </c>
      <c r="B279">
        <v>278</v>
      </c>
      <c r="C279">
        <v>0.1212</v>
      </c>
      <c r="D279">
        <v>0.59</v>
      </c>
      <c r="E279">
        <v>0.28360000000000002</v>
      </c>
      <c r="F279">
        <v>1</v>
      </c>
      <c r="G279">
        <v>6</v>
      </c>
      <c r="H279">
        <v>7</v>
      </c>
    </row>
    <row r="280" spans="1:8" x14ac:dyDescent="0.3">
      <c r="A280">
        <v>278</v>
      </c>
      <c r="B280">
        <v>279</v>
      </c>
      <c r="C280">
        <v>0.1212</v>
      </c>
      <c r="D280">
        <v>0.5</v>
      </c>
      <c r="E280">
        <v>0.28360000000000002</v>
      </c>
      <c r="F280">
        <v>0</v>
      </c>
      <c r="G280">
        <v>2</v>
      </c>
      <c r="H280">
        <v>2</v>
      </c>
    </row>
    <row r="281" spans="1:8" x14ac:dyDescent="0.3">
      <c r="A281">
        <v>279</v>
      </c>
      <c r="B281">
        <v>280</v>
      </c>
      <c r="C281">
        <v>0.1212</v>
      </c>
      <c r="D281">
        <v>0.5</v>
      </c>
      <c r="E281">
        <v>0.35820000000000002</v>
      </c>
      <c r="F281">
        <v>0</v>
      </c>
      <c r="G281">
        <v>2</v>
      </c>
      <c r="H281">
        <v>2</v>
      </c>
    </row>
    <row r="282" spans="1:8" x14ac:dyDescent="0.3">
      <c r="A282">
        <v>280</v>
      </c>
      <c r="B282">
        <v>281</v>
      </c>
      <c r="C282">
        <v>0.1212</v>
      </c>
      <c r="D282">
        <v>0.5</v>
      </c>
      <c r="E282">
        <v>0.32840000000000003</v>
      </c>
      <c r="F282">
        <v>0</v>
      </c>
      <c r="G282">
        <v>3</v>
      </c>
      <c r="H282">
        <v>3</v>
      </c>
    </row>
    <row r="283" spans="1:8" x14ac:dyDescent="0.3">
      <c r="A283">
        <v>281</v>
      </c>
      <c r="B283">
        <v>282</v>
      </c>
      <c r="C283">
        <v>0.1212</v>
      </c>
      <c r="D283">
        <v>0.5</v>
      </c>
      <c r="E283">
        <v>0.25369999999999998</v>
      </c>
      <c r="F283">
        <v>0</v>
      </c>
      <c r="G283">
        <v>4</v>
      </c>
      <c r="H283">
        <v>4</v>
      </c>
    </row>
    <row r="284" spans="1:8" x14ac:dyDescent="0.3">
      <c r="A284">
        <v>282</v>
      </c>
      <c r="B284">
        <v>283</v>
      </c>
      <c r="C284">
        <v>0.1212</v>
      </c>
      <c r="D284">
        <v>0.5</v>
      </c>
      <c r="E284">
        <v>0.29849999999999999</v>
      </c>
      <c r="F284">
        <v>0</v>
      </c>
      <c r="G284">
        <v>3</v>
      </c>
      <c r="H284">
        <v>3</v>
      </c>
    </row>
    <row r="285" spans="1:8" x14ac:dyDescent="0.3">
      <c r="A285">
        <v>283</v>
      </c>
      <c r="B285">
        <v>284</v>
      </c>
      <c r="C285">
        <v>0.1515</v>
      </c>
      <c r="D285">
        <v>0.54</v>
      </c>
      <c r="E285">
        <v>0.1343</v>
      </c>
      <c r="F285">
        <v>0</v>
      </c>
      <c r="G285">
        <v>28</v>
      </c>
      <c r="H285">
        <v>28</v>
      </c>
    </row>
    <row r="286" spans="1:8" x14ac:dyDescent="0.3">
      <c r="A286">
        <v>284</v>
      </c>
      <c r="B286">
        <v>285</v>
      </c>
      <c r="C286">
        <v>0.1515</v>
      </c>
      <c r="D286">
        <v>0.54</v>
      </c>
      <c r="E286">
        <v>0.1343</v>
      </c>
      <c r="F286">
        <v>0</v>
      </c>
      <c r="G286">
        <v>72</v>
      </c>
      <c r="H286">
        <v>72</v>
      </c>
    </row>
    <row r="287" spans="1:8" x14ac:dyDescent="0.3">
      <c r="A287">
        <v>285</v>
      </c>
      <c r="B287">
        <v>286</v>
      </c>
      <c r="C287">
        <v>0.13639999999999999</v>
      </c>
      <c r="D287">
        <v>0.5</v>
      </c>
      <c r="E287">
        <v>0.19400000000000001</v>
      </c>
      <c r="F287">
        <v>5</v>
      </c>
      <c r="G287">
        <v>197</v>
      </c>
      <c r="H287">
        <v>202</v>
      </c>
    </row>
    <row r="288" spans="1:8" x14ac:dyDescent="0.3">
      <c r="A288">
        <v>286</v>
      </c>
      <c r="B288">
        <v>287</v>
      </c>
      <c r="C288">
        <v>0.1212</v>
      </c>
      <c r="D288">
        <v>0.5</v>
      </c>
      <c r="E288">
        <v>0.32840000000000003</v>
      </c>
      <c r="F288">
        <v>2</v>
      </c>
      <c r="G288">
        <v>137</v>
      </c>
      <c r="H288">
        <v>139</v>
      </c>
    </row>
    <row r="289" spans="1:8" x14ac:dyDescent="0.3">
      <c r="A289">
        <v>287</v>
      </c>
      <c r="B289">
        <v>288</v>
      </c>
      <c r="C289">
        <v>0.13639999999999999</v>
      </c>
      <c r="D289">
        <v>0.5</v>
      </c>
      <c r="E289">
        <v>0.35820000000000002</v>
      </c>
      <c r="F289">
        <v>2</v>
      </c>
      <c r="G289">
        <v>36</v>
      </c>
      <c r="H289">
        <v>38</v>
      </c>
    </row>
    <row r="290" spans="1:8" x14ac:dyDescent="0.3">
      <c r="A290">
        <v>288</v>
      </c>
      <c r="B290">
        <v>289</v>
      </c>
      <c r="C290">
        <v>0.16669999999999999</v>
      </c>
      <c r="D290">
        <v>0.44</v>
      </c>
      <c r="E290">
        <v>0.44779999999999998</v>
      </c>
      <c r="F290">
        <v>4</v>
      </c>
      <c r="G290">
        <v>33</v>
      </c>
      <c r="H290">
        <v>37</v>
      </c>
    </row>
    <row r="291" spans="1:8" x14ac:dyDescent="0.3">
      <c r="A291">
        <v>289</v>
      </c>
      <c r="B291">
        <v>290</v>
      </c>
      <c r="C291">
        <v>0.16669999999999999</v>
      </c>
      <c r="D291">
        <v>0.44</v>
      </c>
      <c r="E291">
        <v>0.41789999999999999</v>
      </c>
      <c r="F291">
        <v>3</v>
      </c>
      <c r="G291">
        <v>49</v>
      </c>
      <c r="H291">
        <v>52</v>
      </c>
    </row>
    <row r="292" spans="1:8" x14ac:dyDescent="0.3">
      <c r="A292">
        <v>290</v>
      </c>
      <c r="B292">
        <v>291</v>
      </c>
      <c r="C292">
        <v>0.19700000000000001</v>
      </c>
      <c r="D292">
        <v>0.41</v>
      </c>
      <c r="E292">
        <v>0.44779999999999998</v>
      </c>
      <c r="F292">
        <v>2</v>
      </c>
      <c r="G292">
        <v>81</v>
      </c>
      <c r="H292">
        <v>83</v>
      </c>
    </row>
    <row r="293" spans="1:8" x14ac:dyDescent="0.3">
      <c r="A293">
        <v>291</v>
      </c>
      <c r="B293">
        <v>292</v>
      </c>
      <c r="C293">
        <v>0.19700000000000001</v>
      </c>
      <c r="D293">
        <v>0.41</v>
      </c>
      <c r="E293">
        <v>0.3881</v>
      </c>
      <c r="F293">
        <v>3</v>
      </c>
      <c r="G293">
        <v>39</v>
      </c>
      <c r="H293">
        <v>42</v>
      </c>
    </row>
    <row r="294" spans="1:8" x14ac:dyDescent="0.3">
      <c r="A294">
        <v>292</v>
      </c>
      <c r="B294">
        <v>293</v>
      </c>
      <c r="C294">
        <v>0.21210000000000001</v>
      </c>
      <c r="D294">
        <v>0.38</v>
      </c>
      <c r="E294">
        <v>0.29849999999999999</v>
      </c>
      <c r="F294">
        <v>5</v>
      </c>
      <c r="G294">
        <v>55</v>
      </c>
      <c r="H294">
        <v>60</v>
      </c>
    </row>
    <row r="295" spans="1:8" x14ac:dyDescent="0.3">
      <c r="A295">
        <v>293</v>
      </c>
      <c r="B295">
        <v>294</v>
      </c>
      <c r="C295">
        <v>0.21210000000000001</v>
      </c>
      <c r="D295">
        <v>0.38</v>
      </c>
      <c r="E295">
        <v>0.35820000000000002</v>
      </c>
      <c r="F295">
        <v>2</v>
      </c>
      <c r="G295">
        <v>76</v>
      </c>
      <c r="H295">
        <v>78</v>
      </c>
    </row>
    <row r="296" spans="1:8" x14ac:dyDescent="0.3">
      <c r="A296">
        <v>294</v>
      </c>
      <c r="B296">
        <v>295</v>
      </c>
      <c r="C296">
        <v>0.18179999999999999</v>
      </c>
      <c r="D296">
        <v>0.4</v>
      </c>
      <c r="E296">
        <v>0.28360000000000002</v>
      </c>
      <c r="F296">
        <v>4</v>
      </c>
      <c r="G296">
        <v>158</v>
      </c>
      <c r="H296">
        <v>162</v>
      </c>
    </row>
    <row r="297" spans="1:8" x14ac:dyDescent="0.3">
      <c r="A297">
        <v>295</v>
      </c>
      <c r="B297">
        <v>296</v>
      </c>
      <c r="C297">
        <v>0.18179999999999999</v>
      </c>
      <c r="D297">
        <v>0.4</v>
      </c>
      <c r="E297">
        <v>0.32840000000000003</v>
      </c>
      <c r="F297">
        <v>3</v>
      </c>
      <c r="G297">
        <v>141</v>
      </c>
      <c r="H297">
        <v>144</v>
      </c>
    </row>
    <row r="298" spans="1:8" x14ac:dyDescent="0.3">
      <c r="A298">
        <v>296</v>
      </c>
      <c r="B298">
        <v>297</v>
      </c>
      <c r="C298">
        <v>0.1515</v>
      </c>
      <c r="D298">
        <v>0.47</v>
      </c>
      <c r="E298">
        <v>0.25369999999999998</v>
      </c>
      <c r="F298">
        <v>1</v>
      </c>
      <c r="G298">
        <v>98</v>
      </c>
      <c r="H298">
        <v>99</v>
      </c>
    </row>
    <row r="299" spans="1:8" x14ac:dyDescent="0.3">
      <c r="A299">
        <v>297</v>
      </c>
      <c r="B299">
        <v>298</v>
      </c>
      <c r="C299">
        <v>0.1515</v>
      </c>
      <c r="D299">
        <v>0.47</v>
      </c>
      <c r="E299">
        <v>0.22389999999999999</v>
      </c>
      <c r="F299">
        <v>0</v>
      </c>
      <c r="G299">
        <v>64</v>
      </c>
      <c r="H299">
        <v>64</v>
      </c>
    </row>
    <row r="300" spans="1:8" x14ac:dyDescent="0.3">
      <c r="A300">
        <v>298</v>
      </c>
      <c r="B300">
        <v>299</v>
      </c>
      <c r="C300">
        <v>0.1212</v>
      </c>
      <c r="D300">
        <v>0.46</v>
      </c>
      <c r="E300">
        <v>0.29849999999999999</v>
      </c>
      <c r="F300">
        <v>0</v>
      </c>
      <c r="G300">
        <v>40</v>
      </c>
      <c r="H300">
        <v>40</v>
      </c>
    </row>
    <row r="301" spans="1:8" x14ac:dyDescent="0.3">
      <c r="A301">
        <v>299</v>
      </c>
      <c r="B301">
        <v>300</v>
      </c>
      <c r="C301">
        <v>0.1212</v>
      </c>
      <c r="D301">
        <v>0.46</v>
      </c>
      <c r="E301">
        <v>0.32840000000000003</v>
      </c>
      <c r="F301">
        <v>0</v>
      </c>
      <c r="G301">
        <v>30</v>
      </c>
      <c r="H301">
        <v>30</v>
      </c>
    </row>
    <row r="302" spans="1:8" x14ac:dyDescent="0.3">
      <c r="A302">
        <v>300</v>
      </c>
      <c r="B302">
        <v>301</v>
      </c>
      <c r="C302">
        <v>0.13639999999999999</v>
      </c>
      <c r="D302">
        <v>0.5</v>
      </c>
      <c r="E302">
        <v>0.19400000000000001</v>
      </c>
      <c r="F302">
        <v>1</v>
      </c>
      <c r="G302">
        <v>14</v>
      </c>
      <c r="H302">
        <v>15</v>
      </c>
    </row>
    <row r="303" spans="1:8" x14ac:dyDescent="0.3">
      <c r="A303">
        <v>301</v>
      </c>
      <c r="B303">
        <v>302</v>
      </c>
      <c r="C303">
        <v>0.13639999999999999</v>
      </c>
      <c r="D303">
        <v>0.5</v>
      </c>
      <c r="E303">
        <v>0.19400000000000001</v>
      </c>
      <c r="F303">
        <v>0</v>
      </c>
      <c r="G303">
        <v>14</v>
      </c>
      <c r="H303">
        <v>14</v>
      </c>
    </row>
    <row r="304" spans="1:8" x14ac:dyDescent="0.3">
      <c r="A304">
        <v>302</v>
      </c>
      <c r="B304">
        <v>303</v>
      </c>
      <c r="C304">
        <v>0.1212</v>
      </c>
      <c r="D304">
        <v>0.54</v>
      </c>
      <c r="E304">
        <v>0.16420000000000001</v>
      </c>
      <c r="F304">
        <v>0</v>
      </c>
      <c r="G304">
        <v>5</v>
      </c>
      <c r="H304">
        <v>5</v>
      </c>
    </row>
    <row r="305" spans="1:8" x14ac:dyDescent="0.3">
      <c r="A305">
        <v>303</v>
      </c>
      <c r="B305">
        <v>304</v>
      </c>
      <c r="C305">
        <v>0.1212</v>
      </c>
      <c r="D305">
        <v>0.54</v>
      </c>
      <c r="E305">
        <v>0.1343</v>
      </c>
      <c r="F305">
        <v>0</v>
      </c>
      <c r="G305">
        <v>1</v>
      </c>
      <c r="H305">
        <v>1</v>
      </c>
    </row>
    <row r="306" spans="1:8" x14ac:dyDescent="0.3">
      <c r="A306">
        <v>304</v>
      </c>
      <c r="B306">
        <v>305</v>
      </c>
      <c r="C306">
        <v>0.13639999999999999</v>
      </c>
      <c r="D306">
        <v>0.54</v>
      </c>
      <c r="E306">
        <v>0.1045</v>
      </c>
      <c r="F306">
        <v>0</v>
      </c>
      <c r="G306">
        <v>1</v>
      </c>
      <c r="H306">
        <v>1</v>
      </c>
    </row>
    <row r="307" spans="1:8" x14ac:dyDescent="0.3">
      <c r="A307">
        <v>305</v>
      </c>
      <c r="B307">
        <v>306</v>
      </c>
      <c r="C307">
        <v>0.13639999999999999</v>
      </c>
      <c r="D307">
        <v>0.54</v>
      </c>
      <c r="E307">
        <v>8.9599999999999999E-2</v>
      </c>
      <c r="F307">
        <v>0</v>
      </c>
      <c r="G307">
        <v>8</v>
      </c>
      <c r="H307">
        <v>8</v>
      </c>
    </row>
    <row r="308" spans="1:8" x14ac:dyDescent="0.3">
      <c r="A308">
        <v>306</v>
      </c>
      <c r="B308">
        <v>307</v>
      </c>
      <c r="C308">
        <v>0.18179999999999999</v>
      </c>
      <c r="D308">
        <v>0.54</v>
      </c>
      <c r="E308">
        <v>0</v>
      </c>
      <c r="F308">
        <v>0</v>
      </c>
      <c r="G308">
        <v>17</v>
      </c>
      <c r="H308">
        <v>17</v>
      </c>
    </row>
    <row r="309" spans="1:8" x14ac:dyDescent="0.3">
      <c r="A309">
        <v>307</v>
      </c>
      <c r="B309">
        <v>308</v>
      </c>
      <c r="C309">
        <v>0.1212</v>
      </c>
      <c r="D309">
        <v>0.74</v>
      </c>
      <c r="E309">
        <v>0.16420000000000001</v>
      </c>
      <c r="F309">
        <v>0</v>
      </c>
      <c r="G309">
        <v>70</v>
      </c>
      <c r="H309">
        <v>70</v>
      </c>
    </row>
    <row r="310" spans="1:8" x14ac:dyDescent="0.3">
      <c r="A310">
        <v>308</v>
      </c>
      <c r="B310">
        <v>309</v>
      </c>
      <c r="C310">
        <v>0.16669999999999999</v>
      </c>
      <c r="D310">
        <v>0.68</v>
      </c>
      <c r="E310">
        <v>0</v>
      </c>
      <c r="F310">
        <v>2</v>
      </c>
      <c r="G310">
        <v>156</v>
      </c>
      <c r="H310">
        <v>158</v>
      </c>
    </row>
    <row r="311" spans="1:8" x14ac:dyDescent="0.3">
      <c r="A311">
        <v>309</v>
      </c>
      <c r="B311">
        <v>310</v>
      </c>
      <c r="C311">
        <v>0.1515</v>
      </c>
      <c r="D311">
        <v>0.69</v>
      </c>
      <c r="E311">
        <v>0.1343</v>
      </c>
      <c r="F311">
        <v>0</v>
      </c>
      <c r="G311">
        <v>117</v>
      </c>
      <c r="H311">
        <v>117</v>
      </c>
    </row>
    <row r="312" spans="1:8" x14ac:dyDescent="0.3">
      <c r="A312">
        <v>310</v>
      </c>
      <c r="B312">
        <v>311</v>
      </c>
      <c r="C312">
        <v>0.18179999999999999</v>
      </c>
      <c r="D312">
        <v>0.55000000000000004</v>
      </c>
      <c r="E312">
        <v>0.19400000000000001</v>
      </c>
      <c r="F312">
        <v>4</v>
      </c>
      <c r="G312">
        <v>40</v>
      </c>
      <c r="H312">
        <v>44</v>
      </c>
    </row>
    <row r="313" spans="1:8" x14ac:dyDescent="0.3">
      <c r="A313">
        <v>311</v>
      </c>
      <c r="B313">
        <v>312</v>
      </c>
      <c r="C313">
        <v>0.16669999999999999</v>
      </c>
      <c r="D313">
        <v>0.51</v>
      </c>
      <c r="E313">
        <v>0.28360000000000002</v>
      </c>
      <c r="F313">
        <v>6</v>
      </c>
      <c r="G313">
        <v>47</v>
      </c>
      <c r="H313">
        <v>53</v>
      </c>
    </row>
    <row r="314" spans="1:8" x14ac:dyDescent="0.3">
      <c r="A314">
        <v>312</v>
      </c>
      <c r="B314">
        <v>313</v>
      </c>
      <c r="C314">
        <v>0.19700000000000001</v>
      </c>
      <c r="D314">
        <v>0.44</v>
      </c>
      <c r="E314">
        <v>0.25369999999999998</v>
      </c>
      <c r="F314">
        <v>2</v>
      </c>
      <c r="G314">
        <v>59</v>
      </c>
      <c r="H314">
        <v>61</v>
      </c>
    </row>
    <row r="315" spans="1:8" x14ac:dyDescent="0.3">
      <c r="A315">
        <v>313</v>
      </c>
      <c r="B315">
        <v>314</v>
      </c>
      <c r="C315">
        <v>0.19700000000000001</v>
      </c>
      <c r="D315">
        <v>0.37</v>
      </c>
      <c r="E315">
        <v>0.3881</v>
      </c>
      <c r="F315">
        <v>4</v>
      </c>
      <c r="G315">
        <v>73</v>
      </c>
      <c r="H315">
        <v>77</v>
      </c>
    </row>
    <row r="316" spans="1:8" x14ac:dyDescent="0.3">
      <c r="A316">
        <v>314</v>
      </c>
      <c r="B316">
        <v>315</v>
      </c>
      <c r="C316">
        <v>0.21210000000000001</v>
      </c>
      <c r="D316">
        <v>0.41</v>
      </c>
      <c r="E316">
        <v>0.28360000000000002</v>
      </c>
      <c r="F316">
        <v>5</v>
      </c>
      <c r="G316">
        <v>59</v>
      </c>
      <c r="H316">
        <v>64</v>
      </c>
    </row>
    <row r="317" spans="1:8" x14ac:dyDescent="0.3">
      <c r="A317">
        <v>315</v>
      </c>
      <c r="B317">
        <v>316</v>
      </c>
      <c r="C317">
        <v>0.2424</v>
      </c>
      <c r="D317">
        <v>0.38</v>
      </c>
      <c r="E317">
        <v>0.16420000000000001</v>
      </c>
      <c r="F317">
        <v>9</v>
      </c>
      <c r="G317">
        <v>59</v>
      </c>
      <c r="H317">
        <v>68</v>
      </c>
    </row>
    <row r="318" spans="1:8" x14ac:dyDescent="0.3">
      <c r="A318">
        <v>316</v>
      </c>
      <c r="B318">
        <v>317</v>
      </c>
      <c r="C318">
        <v>0.2424</v>
      </c>
      <c r="D318">
        <v>0.41</v>
      </c>
      <c r="E318">
        <v>0.1045</v>
      </c>
      <c r="F318">
        <v>3</v>
      </c>
      <c r="G318">
        <v>87</v>
      </c>
      <c r="H318">
        <v>90</v>
      </c>
    </row>
    <row r="319" spans="1:8" x14ac:dyDescent="0.3">
      <c r="A319">
        <v>317</v>
      </c>
      <c r="B319">
        <v>318</v>
      </c>
      <c r="C319">
        <v>0.2273</v>
      </c>
      <c r="D319">
        <v>0.41</v>
      </c>
      <c r="E319">
        <v>0.16420000000000001</v>
      </c>
      <c r="F319">
        <v>4</v>
      </c>
      <c r="G319">
        <v>155</v>
      </c>
      <c r="H319">
        <v>159</v>
      </c>
    </row>
    <row r="320" spans="1:8" x14ac:dyDescent="0.3">
      <c r="A320">
        <v>318</v>
      </c>
      <c r="B320">
        <v>319</v>
      </c>
      <c r="C320">
        <v>0.2576</v>
      </c>
      <c r="D320">
        <v>0.47</v>
      </c>
      <c r="E320">
        <v>0</v>
      </c>
      <c r="F320">
        <v>5</v>
      </c>
      <c r="G320">
        <v>134</v>
      </c>
      <c r="H320">
        <v>139</v>
      </c>
    </row>
    <row r="321" spans="1:8" x14ac:dyDescent="0.3">
      <c r="A321">
        <v>319</v>
      </c>
      <c r="B321">
        <v>320</v>
      </c>
      <c r="C321">
        <v>0.19700000000000001</v>
      </c>
      <c r="D321">
        <v>0.59</v>
      </c>
      <c r="E321">
        <v>8.9599999999999999E-2</v>
      </c>
      <c r="F321">
        <v>3</v>
      </c>
      <c r="G321">
        <v>89</v>
      </c>
      <c r="H321">
        <v>92</v>
      </c>
    </row>
    <row r="322" spans="1:8" x14ac:dyDescent="0.3">
      <c r="A322">
        <v>320</v>
      </c>
      <c r="B322">
        <v>321</v>
      </c>
      <c r="C322">
        <v>0.2424</v>
      </c>
      <c r="D322">
        <v>0.59</v>
      </c>
      <c r="E322">
        <v>0</v>
      </c>
      <c r="F322">
        <v>0</v>
      </c>
      <c r="G322">
        <v>68</v>
      </c>
      <c r="H322">
        <v>68</v>
      </c>
    </row>
    <row r="323" spans="1:8" x14ac:dyDescent="0.3">
      <c r="A323">
        <v>321</v>
      </c>
      <c r="B323">
        <v>322</v>
      </c>
      <c r="C323">
        <v>0.2273</v>
      </c>
      <c r="D323">
        <v>0.69</v>
      </c>
      <c r="E323">
        <v>0</v>
      </c>
      <c r="F323">
        <v>4</v>
      </c>
      <c r="G323">
        <v>48</v>
      </c>
      <c r="H323">
        <v>52</v>
      </c>
    </row>
    <row r="324" spans="1:8" x14ac:dyDescent="0.3">
      <c r="A324">
        <v>322</v>
      </c>
      <c r="B324">
        <v>323</v>
      </c>
      <c r="C324">
        <v>0.2273</v>
      </c>
      <c r="D324">
        <v>0.69</v>
      </c>
      <c r="E324">
        <v>0</v>
      </c>
      <c r="F324">
        <v>2</v>
      </c>
      <c r="G324">
        <v>34</v>
      </c>
      <c r="H324">
        <v>36</v>
      </c>
    </row>
    <row r="325" spans="1:8" x14ac:dyDescent="0.3">
      <c r="A325">
        <v>323</v>
      </c>
      <c r="B325">
        <v>324</v>
      </c>
      <c r="C325">
        <v>0.2424</v>
      </c>
      <c r="D325">
        <v>0.55000000000000004</v>
      </c>
      <c r="E325">
        <v>0</v>
      </c>
      <c r="F325">
        <v>1</v>
      </c>
      <c r="G325">
        <v>26</v>
      </c>
      <c r="H325">
        <v>27</v>
      </c>
    </row>
    <row r="326" spans="1:8" x14ac:dyDescent="0.3">
      <c r="A326">
        <v>324</v>
      </c>
      <c r="B326">
        <v>325</v>
      </c>
      <c r="C326">
        <v>0.2424</v>
      </c>
      <c r="D326">
        <v>0.55000000000000004</v>
      </c>
      <c r="E326">
        <v>0</v>
      </c>
      <c r="F326">
        <v>3</v>
      </c>
      <c r="G326">
        <v>25</v>
      </c>
      <c r="H326">
        <v>28</v>
      </c>
    </row>
    <row r="327" spans="1:8" x14ac:dyDescent="0.3">
      <c r="A327">
        <v>325</v>
      </c>
      <c r="B327">
        <v>326</v>
      </c>
      <c r="C327">
        <v>0.19700000000000001</v>
      </c>
      <c r="D327">
        <v>0.59</v>
      </c>
      <c r="E327">
        <v>8.9599999999999999E-2</v>
      </c>
      <c r="F327">
        <v>2</v>
      </c>
      <c r="G327">
        <v>18</v>
      </c>
      <c r="H327">
        <v>20</v>
      </c>
    </row>
    <row r="328" spans="1:8" x14ac:dyDescent="0.3">
      <c r="A328">
        <v>326</v>
      </c>
      <c r="B328">
        <v>327</v>
      </c>
      <c r="C328">
        <v>0.19700000000000001</v>
      </c>
      <c r="D328">
        <v>0.59</v>
      </c>
      <c r="E328">
        <v>8.9599999999999999E-2</v>
      </c>
      <c r="F328">
        <v>0</v>
      </c>
      <c r="G328">
        <v>12</v>
      </c>
      <c r="H328">
        <v>12</v>
      </c>
    </row>
    <row r="329" spans="1:8" x14ac:dyDescent="0.3">
      <c r="A329">
        <v>327</v>
      </c>
      <c r="B329">
        <v>328</v>
      </c>
      <c r="C329">
        <v>0.2273</v>
      </c>
      <c r="D329">
        <v>0.59</v>
      </c>
      <c r="E329">
        <v>0</v>
      </c>
      <c r="F329">
        <v>1</v>
      </c>
      <c r="G329">
        <v>7</v>
      </c>
      <c r="H329">
        <v>8</v>
      </c>
    </row>
    <row r="330" spans="1:8" x14ac:dyDescent="0.3">
      <c r="A330">
        <v>328</v>
      </c>
      <c r="B330">
        <v>329</v>
      </c>
      <c r="C330">
        <v>0.2273</v>
      </c>
      <c r="D330">
        <v>0.59</v>
      </c>
      <c r="E330">
        <v>0</v>
      </c>
      <c r="F330">
        <v>0</v>
      </c>
      <c r="G330">
        <v>5</v>
      </c>
      <c r="H330">
        <v>5</v>
      </c>
    </row>
    <row r="331" spans="1:8" x14ac:dyDescent="0.3">
      <c r="A331">
        <v>329</v>
      </c>
      <c r="B331">
        <v>330</v>
      </c>
      <c r="C331">
        <v>0.2273</v>
      </c>
      <c r="D331">
        <v>0.59</v>
      </c>
      <c r="E331">
        <v>0</v>
      </c>
      <c r="F331">
        <v>0</v>
      </c>
      <c r="G331">
        <v>1</v>
      </c>
      <c r="H331">
        <v>1</v>
      </c>
    </row>
    <row r="332" spans="1:8" x14ac:dyDescent="0.3">
      <c r="A332">
        <v>330</v>
      </c>
      <c r="B332">
        <v>331</v>
      </c>
      <c r="C332">
        <v>0.16669999999999999</v>
      </c>
      <c r="D332">
        <v>0.63</v>
      </c>
      <c r="E332">
        <v>0.1045</v>
      </c>
      <c r="F332">
        <v>1</v>
      </c>
      <c r="G332">
        <v>2</v>
      </c>
      <c r="H332">
        <v>3</v>
      </c>
    </row>
    <row r="333" spans="1:8" x14ac:dyDescent="0.3">
      <c r="A333">
        <v>331</v>
      </c>
      <c r="B333">
        <v>332</v>
      </c>
      <c r="C333">
        <v>0.21210000000000001</v>
      </c>
      <c r="D333">
        <v>0.63</v>
      </c>
      <c r="E333">
        <v>0</v>
      </c>
      <c r="F333">
        <v>1</v>
      </c>
      <c r="G333">
        <v>9</v>
      </c>
      <c r="H333">
        <v>10</v>
      </c>
    </row>
    <row r="334" spans="1:8" x14ac:dyDescent="0.3">
      <c r="A334">
        <v>332</v>
      </c>
      <c r="B334">
        <v>333</v>
      </c>
      <c r="C334">
        <v>0.1515</v>
      </c>
      <c r="D334">
        <v>0.63</v>
      </c>
      <c r="E334">
        <v>0.1343</v>
      </c>
      <c r="F334">
        <v>1</v>
      </c>
      <c r="G334">
        <v>22</v>
      </c>
      <c r="H334">
        <v>23</v>
      </c>
    </row>
    <row r="335" spans="1:8" x14ac:dyDescent="0.3">
      <c r="A335">
        <v>333</v>
      </c>
      <c r="B335">
        <v>334</v>
      </c>
      <c r="C335">
        <v>0.18179999999999999</v>
      </c>
      <c r="D335">
        <v>0.64</v>
      </c>
      <c r="E335">
        <v>0.1343</v>
      </c>
      <c r="F335">
        <v>2</v>
      </c>
      <c r="G335">
        <v>31</v>
      </c>
      <c r="H335">
        <v>33</v>
      </c>
    </row>
    <row r="336" spans="1:8" x14ac:dyDescent="0.3">
      <c r="A336">
        <v>334</v>
      </c>
      <c r="B336">
        <v>335</v>
      </c>
      <c r="C336">
        <v>0.19700000000000001</v>
      </c>
      <c r="D336">
        <v>0.59</v>
      </c>
      <c r="E336">
        <v>0.16420000000000001</v>
      </c>
      <c r="F336">
        <v>2</v>
      </c>
      <c r="G336">
        <v>57</v>
      </c>
      <c r="H336">
        <v>59</v>
      </c>
    </row>
    <row r="337" spans="1:8" x14ac:dyDescent="0.3">
      <c r="A337">
        <v>335</v>
      </c>
      <c r="B337">
        <v>336</v>
      </c>
      <c r="C337">
        <v>0.19700000000000001</v>
      </c>
      <c r="D337">
        <v>0.55000000000000004</v>
      </c>
      <c r="E337">
        <v>0.22389999999999999</v>
      </c>
      <c r="F337">
        <v>18</v>
      </c>
      <c r="G337">
        <v>54</v>
      </c>
      <c r="H337">
        <v>72</v>
      </c>
    </row>
    <row r="338" spans="1:8" x14ac:dyDescent="0.3">
      <c r="A338">
        <v>336</v>
      </c>
      <c r="B338">
        <v>337</v>
      </c>
      <c r="C338">
        <v>0.2273</v>
      </c>
      <c r="D338">
        <v>0.48</v>
      </c>
      <c r="E338">
        <v>0.22389999999999999</v>
      </c>
      <c r="F338">
        <v>15</v>
      </c>
      <c r="G338">
        <v>74</v>
      </c>
      <c r="H338">
        <v>89</v>
      </c>
    </row>
    <row r="339" spans="1:8" x14ac:dyDescent="0.3">
      <c r="A339">
        <v>337</v>
      </c>
      <c r="B339">
        <v>338</v>
      </c>
      <c r="C339">
        <v>0.2576</v>
      </c>
      <c r="D339">
        <v>0.38</v>
      </c>
      <c r="E339">
        <v>0.29849999999999999</v>
      </c>
      <c r="F339">
        <v>21</v>
      </c>
      <c r="G339">
        <v>80</v>
      </c>
      <c r="H339">
        <v>101</v>
      </c>
    </row>
    <row r="340" spans="1:8" x14ac:dyDescent="0.3">
      <c r="A340">
        <v>338</v>
      </c>
      <c r="B340">
        <v>339</v>
      </c>
      <c r="C340">
        <v>0.28789999999999999</v>
      </c>
      <c r="D340">
        <v>0.39</v>
      </c>
      <c r="E340">
        <v>0.28360000000000002</v>
      </c>
      <c r="F340">
        <v>26</v>
      </c>
      <c r="G340">
        <v>92</v>
      </c>
      <c r="H340">
        <v>118</v>
      </c>
    </row>
    <row r="341" spans="1:8" x14ac:dyDescent="0.3">
      <c r="A341">
        <v>339</v>
      </c>
      <c r="B341">
        <v>340</v>
      </c>
      <c r="C341">
        <v>0.31819999999999998</v>
      </c>
      <c r="D341">
        <v>0.36</v>
      </c>
      <c r="E341">
        <v>0.19400000000000001</v>
      </c>
      <c r="F341">
        <v>21</v>
      </c>
      <c r="G341">
        <v>108</v>
      </c>
      <c r="H341">
        <v>129</v>
      </c>
    </row>
    <row r="342" spans="1:8" x14ac:dyDescent="0.3">
      <c r="A342">
        <v>340</v>
      </c>
      <c r="B342">
        <v>341</v>
      </c>
      <c r="C342">
        <v>0.33329999999999999</v>
      </c>
      <c r="D342">
        <v>0.34</v>
      </c>
      <c r="E342">
        <v>0.19400000000000001</v>
      </c>
      <c r="F342">
        <v>33</v>
      </c>
      <c r="G342">
        <v>95</v>
      </c>
      <c r="H342">
        <v>128</v>
      </c>
    </row>
    <row r="343" spans="1:8" x14ac:dyDescent="0.3">
      <c r="A343">
        <v>341</v>
      </c>
      <c r="B343">
        <v>342</v>
      </c>
      <c r="C343">
        <v>0.30299999999999999</v>
      </c>
      <c r="D343">
        <v>0.36</v>
      </c>
      <c r="E343">
        <v>0.28360000000000002</v>
      </c>
      <c r="F343">
        <v>29</v>
      </c>
      <c r="G343">
        <v>54</v>
      </c>
      <c r="H343">
        <v>83</v>
      </c>
    </row>
    <row r="344" spans="1:8" x14ac:dyDescent="0.3">
      <c r="A344">
        <v>342</v>
      </c>
      <c r="B344">
        <v>343</v>
      </c>
      <c r="C344">
        <v>0.28789999999999999</v>
      </c>
      <c r="D344">
        <v>0.45</v>
      </c>
      <c r="E344">
        <v>0.25369999999999998</v>
      </c>
      <c r="F344">
        <v>15</v>
      </c>
      <c r="G344">
        <v>69</v>
      </c>
      <c r="H344">
        <v>84</v>
      </c>
    </row>
    <row r="345" spans="1:8" x14ac:dyDescent="0.3">
      <c r="A345">
        <v>343</v>
      </c>
      <c r="B345">
        <v>344</v>
      </c>
      <c r="C345">
        <v>0.30299999999999999</v>
      </c>
      <c r="D345">
        <v>0.39</v>
      </c>
      <c r="E345">
        <v>0.25369999999999998</v>
      </c>
      <c r="F345">
        <v>14</v>
      </c>
      <c r="G345">
        <v>60</v>
      </c>
      <c r="H345">
        <v>74</v>
      </c>
    </row>
    <row r="346" spans="1:8" x14ac:dyDescent="0.3">
      <c r="A346">
        <v>344</v>
      </c>
      <c r="B346">
        <v>345</v>
      </c>
      <c r="C346">
        <v>0.30299999999999999</v>
      </c>
      <c r="D346">
        <v>0.39</v>
      </c>
      <c r="E346">
        <v>0.25369999999999998</v>
      </c>
      <c r="F346">
        <v>6</v>
      </c>
      <c r="G346">
        <v>35</v>
      </c>
      <c r="H346">
        <v>41</v>
      </c>
    </row>
    <row r="347" spans="1:8" x14ac:dyDescent="0.3">
      <c r="A347">
        <v>345</v>
      </c>
      <c r="B347">
        <v>346</v>
      </c>
      <c r="C347">
        <v>0.30299999999999999</v>
      </c>
      <c r="D347">
        <v>0.39</v>
      </c>
      <c r="E347">
        <v>0.22389999999999999</v>
      </c>
      <c r="F347">
        <v>6</v>
      </c>
      <c r="G347">
        <v>51</v>
      </c>
      <c r="H347">
        <v>57</v>
      </c>
    </row>
    <row r="348" spans="1:8" x14ac:dyDescent="0.3">
      <c r="A348">
        <v>346</v>
      </c>
      <c r="B348">
        <v>347</v>
      </c>
      <c r="C348">
        <v>0.31819999999999998</v>
      </c>
      <c r="D348">
        <v>0.42</v>
      </c>
      <c r="E348">
        <v>0.1045</v>
      </c>
      <c r="F348">
        <v>0</v>
      </c>
      <c r="G348">
        <v>26</v>
      </c>
      <c r="H348">
        <v>26</v>
      </c>
    </row>
    <row r="349" spans="1:8" x14ac:dyDescent="0.3">
      <c r="A349">
        <v>347</v>
      </c>
      <c r="B349">
        <v>348</v>
      </c>
      <c r="C349">
        <v>0.28789999999999999</v>
      </c>
      <c r="D349">
        <v>0.45</v>
      </c>
      <c r="E349">
        <v>0.28360000000000002</v>
      </c>
      <c r="F349">
        <v>5</v>
      </c>
      <c r="G349">
        <v>39</v>
      </c>
      <c r="H349">
        <v>44</v>
      </c>
    </row>
    <row r="350" spans="1:8" x14ac:dyDescent="0.3">
      <c r="A350">
        <v>348</v>
      </c>
      <c r="B350">
        <v>349</v>
      </c>
      <c r="C350">
        <v>0.30299999999999999</v>
      </c>
      <c r="D350">
        <v>0.56000000000000005</v>
      </c>
      <c r="E350">
        <v>0</v>
      </c>
      <c r="F350">
        <v>6</v>
      </c>
      <c r="G350">
        <v>33</v>
      </c>
      <c r="H350">
        <v>39</v>
      </c>
    </row>
    <row r="351" spans="1:8" x14ac:dyDescent="0.3">
      <c r="A351">
        <v>349</v>
      </c>
      <c r="B351">
        <v>350</v>
      </c>
      <c r="C351">
        <v>0.2727</v>
      </c>
      <c r="D351">
        <v>0.56000000000000005</v>
      </c>
      <c r="E351">
        <v>0.1343</v>
      </c>
      <c r="F351">
        <v>4</v>
      </c>
      <c r="G351">
        <v>19</v>
      </c>
      <c r="H351">
        <v>23</v>
      </c>
    </row>
    <row r="352" spans="1:8" x14ac:dyDescent="0.3">
      <c r="A352">
        <v>350</v>
      </c>
      <c r="B352">
        <v>351</v>
      </c>
      <c r="C352">
        <v>0.28789999999999999</v>
      </c>
      <c r="D352">
        <v>0.56000000000000005</v>
      </c>
      <c r="E352">
        <v>8.9599999999999999E-2</v>
      </c>
      <c r="F352">
        <v>3</v>
      </c>
      <c r="G352">
        <v>13</v>
      </c>
      <c r="H352">
        <v>16</v>
      </c>
    </row>
    <row r="353" spans="1:8" x14ac:dyDescent="0.3">
      <c r="A353">
        <v>351</v>
      </c>
      <c r="B353">
        <v>352</v>
      </c>
      <c r="C353">
        <v>0.2727</v>
      </c>
      <c r="D353">
        <v>0.69</v>
      </c>
      <c r="E353">
        <v>0</v>
      </c>
      <c r="F353">
        <v>9</v>
      </c>
      <c r="G353">
        <v>6</v>
      </c>
      <c r="H353">
        <v>15</v>
      </c>
    </row>
    <row r="354" spans="1:8" x14ac:dyDescent="0.3">
      <c r="A354">
        <v>352</v>
      </c>
      <c r="B354">
        <v>353</v>
      </c>
      <c r="C354">
        <v>0.2576</v>
      </c>
      <c r="D354">
        <v>0.56000000000000005</v>
      </c>
      <c r="E354">
        <v>0.16420000000000001</v>
      </c>
      <c r="F354">
        <v>0</v>
      </c>
      <c r="G354">
        <v>1</v>
      </c>
      <c r="H354">
        <v>1</v>
      </c>
    </row>
    <row r="355" spans="1:8" x14ac:dyDescent="0.3">
      <c r="A355">
        <v>353</v>
      </c>
      <c r="B355">
        <v>354</v>
      </c>
      <c r="C355">
        <v>0.2576</v>
      </c>
      <c r="D355">
        <v>0.56000000000000005</v>
      </c>
      <c r="E355">
        <v>0.16420000000000001</v>
      </c>
      <c r="F355">
        <v>1</v>
      </c>
      <c r="G355">
        <v>1</v>
      </c>
      <c r="H355">
        <v>2</v>
      </c>
    </row>
    <row r="356" spans="1:8" x14ac:dyDescent="0.3">
      <c r="A356">
        <v>354</v>
      </c>
      <c r="B356">
        <v>355</v>
      </c>
      <c r="C356">
        <v>0.2576</v>
      </c>
      <c r="D356">
        <v>0.56000000000000005</v>
      </c>
      <c r="E356">
        <v>0.16420000000000001</v>
      </c>
      <c r="F356">
        <v>0</v>
      </c>
      <c r="G356">
        <v>1</v>
      </c>
      <c r="H356">
        <v>1</v>
      </c>
    </row>
    <row r="357" spans="1:8" x14ac:dyDescent="0.3">
      <c r="A357">
        <v>355</v>
      </c>
      <c r="B357">
        <v>356</v>
      </c>
      <c r="C357">
        <v>0.21210000000000001</v>
      </c>
      <c r="D357">
        <v>0.56000000000000005</v>
      </c>
      <c r="E357">
        <v>0.29849999999999999</v>
      </c>
      <c r="F357">
        <v>0</v>
      </c>
      <c r="G357">
        <v>3</v>
      </c>
      <c r="H357">
        <v>3</v>
      </c>
    </row>
    <row r="358" spans="1:8" x14ac:dyDescent="0.3">
      <c r="A358">
        <v>356</v>
      </c>
      <c r="B358">
        <v>357</v>
      </c>
      <c r="C358">
        <v>0.21210000000000001</v>
      </c>
      <c r="D358">
        <v>0.55000000000000004</v>
      </c>
      <c r="E358">
        <v>0.28360000000000002</v>
      </c>
      <c r="F358">
        <v>0</v>
      </c>
      <c r="G358">
        <v>18</v>
      </c>
      <c r="H358">
        <v>18</v>
      </c>
    </row>
    <row r="359" spans="1:8" x14ac:dyDescent="0.3">
      <c r="A359">
        <v>357</v>
      </c>
      <c r="B359">
        <v>358</v>
      </c>
      <c r="C359">
        <v>0.21210000000000001</v>
      </c>
      <c r="D359">
        <v>0.51</v>
      </c>
      <c r="E359">
        <v>0.25369999999999998</v>
      </c>
      <c r="F359">
        <v>3</v>
      </c>
      <c r="G359">
        <v>29</v>
      </c>
      <c r="H359">
        <v>32</v>
      </c>
    </row>
    <row r="360" spans="1:8" x14ac:dyDescent="0.3">
      <c r="A360">
        <v>358</v>
      </c>
      <c r="B360">
        <v>359</v>
      </c>
      <c r="C360">
        <v>0.21210000000000001</v>
      </c>
      <c r="D360">
        <v>0.51</v>
      </c>
      <c r="E360">
        <v>0.28360000000000002</v>
      </c>
      <c r="F360">
        <v>8</v>
      </c>
      <c r="G360">
        <v>71</v>
      </c>
      <c r="H360">
        <v>79</v>
      </c>
    </row>
    <row r="361" spans="1:8" x14ac:dyDescent="0.3">
      <c r="A361">
        <v>359</v>
      </c>
      <c r="B361">
        <v>360</v>
      </c>
      <c r="C361">
        <v>0.2273</v>
      </c>
      <c r="D361">
        <v>0.44</v>
      </c>
      <c r="E361">
        <v>0.25369999999999998</v>
      </c>
      <c r="F361">
        <v>23</v>
      </c>
      <c r="G361">
        <v>70</v>
      </c>
      <c r="H361">
        <v>93</v>
      </c>
    </row>
    <row r="362" spans="1:8" x14ac:dyDescent="0.3">
      <c r="A362">
        <v>360</v>
      </c>
      <c r="B362">
        <v>361</v>
      </c>
      <c r="C362">
        <v>0.21210000000000001</v>
      </c>
      <c r="D362">
        <v>0.41</v>
      </c>
      <c r="E362">
        <v>0.28360000000000002</v>
      </c>
      <c r="F362">
        <v>29</v>
      </c>
      <c r="G362">
        <v>75</v>
      </c>
      <c r="H362">
        <v>104</v>
      </c>
    </row>
    <row r="363" spans="1:8" x14ac:dyDescent="0.3">
      <c r="A363">
        <v>361</v>
      </c>
      <c r="B363">
        <v>362</v>
      </c>
      <c r="C363">
        <v>0.2273</v>
      </c>
      <c r="D363">
        <v>0.35</v>
      </c>
      <c r="E363">
        <v>0.29849999999999999</v>
      </c>
      <c r="F363">
        <v>23</v>
      </c>
      <c r="G363">
        <v>95</v>
      </c>
      <c r="H363">
        <v>118</v>
      </c>
    </row>
    <row r="364" spans="1:8" x14ac:dyDescent="0.3">
      <c r="A364">
        <v>362</v>
      </c>
      <c r="B364">
        <v>363</v>
      </c>
      <c r="C364">
        <v>0.2727</v>
      </c>
      <c r="D364">
        <v>0.36</v>
      </c>
      <c r="E364">
        <v>0.25369999999999998</v>
      </c>
      <c r="F364">
        <v>22</v>
      </c>
      <c r="G364">
        <v>69</v>
      </c>
      <c r="H364">
        <v>91</v>
      </c>
    </row>
    <row r="365" spans="1:8" x14ac:dyDescent="0.3">
      <c r="A365">
        <v>363</v>
      </c>
      <c r="B365">
        <v>364</v>
      </c>
      <c r="C365">
        <v>0.2424</v>
      </c>
      <c r="D365">
        <v>0.38</v>
      </c>
      <c r="E365">
        <v>0.25369999999999998</v>
      </c>
      <c r="F365">
        <v>35</v>
      </c>
      <c r="G365">
        <v>78</v>
      </c>
      <c r="H365">
        <v>113</v>
      </c>
    </row>
    <row r="366" spans="1:8" x14ac:dyDescent="0.3">
      <c r="A366">
        <v>364</v>
      </c>
      <c r="B366">
        <v>365</v>
      </c>
      <c r="C366">
        <v>0.2273</v>
      </c>
      <c r="D366">
        <v>0.38</v>
      </c>
      <c r="E366">
        <v>0.22389999999999999</v>
      </c>
      <c r="F366">
        <v>22</v>
      </c>
      <c r="G366">
        <v>77</v>
      </c>
      <c r="H366">
        <v>99</v>
      </c>
    </row>
    <row r="367" spans="1:8" x14ac:dyDescent="0.3">
      <c r="A367">
        <v>365</v>
      </c>
      <c r="B367">
        <v>366</v>
      </c>
      <c r="C367">
        <v>0.21210000000000001</v>
      </c>
      <c r="D367">
        <v>0.37</v>
      </c>
      <c r="E367">
        <v>0.25369999999999998</v>
      </c>
      <c r="F367">
        <v>23</v>
      </c>
      <c r="G367">
        <v>82</v>
      </c>
      <c r="H367">
        <v>105</v>
      </c>
    </row>
    <row r="368" spans="1:8" x14ac:dyDescent="0.3">
      <c r="A368">
        <v>366</v>
      </c>
      <c r="B368">
        <v>367</v>
      </c>
      <c r="C368">
        <v>0.21210000000000001</v>
      </c>
      <c r="D368">
        <v>0.4</v>
      </c>
      <c r="E368">
        <v>0.16420000000000001</v>
      </c>
      <c r="F368">
        <v>11</v>
      </c>
      <c r="G368">
        <v>56</v>
      </c>
      <c r="H368">
        <v>67</v>
      </c>
    </row>
    <row r="369" spans="1:8" x14ac:dyDescent="0.3">
      <c r="A369">
        <v>367</v>
      </c>
      <c r="B369">
        <v>368</v>
      </c>
      <c r="C369">
        <v>0.19700000000000001</v>
      </c>
      <c r="D369">
        <v>0.47</v>
      </c>
      <c r="E369">
        <v>0.1343</v>
      </c>
      <c r="F369">
        <v>14</v>
      </c>
      <c r="G369">
        <v>47</v>
      </c>
      <c r="H369">
        <v>61</v>
      </c>
    </row>
    <row r="370" spans="1:8" x14ac:dyDescent="0.3">
      <c r="A370">
        <v>368</v>
      </c>
      <c r="B370">
        <v>369</v>
      </c>
      <c r="C370">
        <v>0.19700000000000001</v>
      </c>
      <c r="D370">
        <v>0.47</v>
      </c>
      <c r="E370">
        <v>0.16420000000000001</v>
      </c>
      <c r="F370">
        <v>7</v>
      </c>
      <c r="G370">
        <v>50</v>
      </c>
      <c r="H370">
        <v>57</v>
      </c>
    </row>
    <row r="371" spans="1:8" x14ac:dyDescent="0.3">
      <c r="A371">
        <v>369</v>
      </c>
      <c r="B371">
        <v>370</v>
      </c>
      <c r="C371">
        <v>0.19700000000000001</v>
      </c>
      <c r="D371">
        <v>0.51</v>
      </c>
      <c r="E371">
        <v>0.16420000000000001</v>
      </c>
      <c r="F371">
        <v>6</v>
      </c>
      <c r="G371">
        <v>22</v>
      </c>
      <c r="H371">
        <v>28</v>
      </c>
    </row>
    <row r="372" spans="1:8" x14ac:dyDescent="0.3">
      <c r="A372">
        <v>370</v>
      </c>
      <c r="B372">
        <v>371</v>
      </c>
      <c r="C372">
        <v>0.21210000000000001</v>
      </c>
      <c r="D372">
        <v>0.49</v>
      </c>
      <c r="E372">
        <v>0.1343</v>
      </c>
      <c r="F372">
        <v>2</v>
      </c>
      <c r="G372">
        <v>19</v>
      </c>
      <c r="H372">
        <v>21</v>
      </c>
    </row>
    <row r="373" spans="1:8" x14ac:dyDescent="0.3">
      <c r="A373">
        <v>371</v>
      </c>
      <c r="B373">
        <v>372</v>
      </c>
      <c r="C373">
        <v>0.2273</v>
      </c>
      <c r="D373">
        <v>0.4</v>
      </c>
      <c r="E373">
        <v>0.1045</v>
      </c>
      <c r="F373">
        <v>0</v>
      </c>
      <c r="G373">
        <v>18</v>
      </c>
      <c r="H373">
        <v>18</v>
      </c>
    </row>
    <row r="374" spans="1:8" x14ac:dyDescent="0.3">
      <c r="A374">
        <v>372</v>
      </c>
      <c r="B374">
        <v>373</v>
      </c>
      <c r="C374">
        <v>0.19700000000000001</v>
      </c>
      <c r="D374">
        <v>0.47</v>
      </c>
      <c r="E374">
        <v>0.22389999999999999</v>
      </c>
      <c r="F374">
        <v>1</v>
      </c>
      <c r="G374">
        <v>16</v>
      </c>
      <c r="H374">
        <v>17</v>
      </c>
    </row>
    <row r="375" spans="1:8" x14ac:dyDescent="0.3">
      <c r="A375">
        <v>373</v>
      </c>
      <c r="B375">
        <v>374</v>
      </c>
      <c r="C375">
        <v>0.19700000000000001</v>
      </c>
      <c r="D375">
        <v>0.44</v>
      </c>
      <c r="E375">
        <v>0.19400000000000001</v>
      </c>
      <c r="F375">
        <v>1</v>
      </c>
      <c r="G375">
        <v>15</v>
      </c>
      <c r="H375">
        <v>16</v>
      </c>
    </row>
    <row r="376" spans="1:8" x14ac:dyDescent="0.3">
      <c r="A376">
        <v>374</v>
      </c>
      <c r="B376">
        <v>375</v>
      </c>
      <c r="C376">
        <v>0.16669999999999999</v>
      </c>
      <c r="D376">
        <v>0.43</v>
      </c>
      <c r="E376">
        <v>0.25369999999999998</v>
      </c>
      <c r="F376">
        <v>0</v>
      </c>
      <c r="G376">
        <v>8</v>
      </c>
      <c r="H376">
        <v>8</v>
      </c>
    </row>
    <row r="377" spans="1:8" x14ac:dyDescent="0.3">
      <c r="A377">
        <v>375</v>
      </c>
      <c r="B377">
        <v>376</v>
      </c>
      <c r="C377">
        <v>0.18179999999999999</v>
      </c>
      <c r="D377">
        <v>0.43</v>
      </c>
      <c r="E377">
        <v>0.19400000000000001</v>
      </c>
      <c r="F377">
        <v>0</v>
      </c>
      <c r="G377">
        <v>2</v>
      </c>
      <c r="H377">
        <v>2</v>
      </c>
    </row>
    <row r="378" spans="1:8" x14ac:dyDescent="0.3">
      <c r="A378">
        <v>376</v>
      </c>
      <c r="B378">
        <v>377</v>
      </c>
      <c r="C378">
        <v>0.19700000000000001</v>
      </c>
      <c r="D378">
        <v>0.43</v>
      </c>
      <c r="E378">
        <v>0.1343</v>
      </c>
      <c r="F378">
        <v>1</v>
      </c>
      <c r="G378">
        <v>2</v>
      </c>
      <c r="H378">
        <v>3</v>
      </c>
    </row>
    <row r="379" spans="1:8" x14ac:dyDescent="0.3">
      <c r="A379">
        <v>377</v>
      </c>
      <c r="B379">
        <v>378</v>
      </c>
      <c r="C379">
        <v>0.19700000000000001</v>
      </c>
      <c r="D379">
        <v>0.43</v>
      </c>
      <c r="E379">
        <v>0.16420000000000001</v>
      </c>
      <c r="F379">
        <v>0</v>
      </c>
      <c r="G379">
        <v>1</v>
      </c>
      <c r="H379">
        <v>1</v>
      </c>
    </row>
    <row r="380" spans="1:8" x14ac:dyDescent="0.3">
      <c r="A380">
        <v>378</v>
      </c>
      <c r="B380">
        <v>379</v>
      </c>
      <c r="C380">
        <v>0.18179999999999999</v>
      </c>
      <c r="D380">
        <v>0.43</v>
      </c>
      <c r="E380">
        <v>0.19400000000000001</v>
      </c>
      <c r="F380">
        <v>0</v>
      </c>
      <c r="G380">
        <v>5</v>
      </c>
      <c r="H380">
        <v>5</v>
      </c>
    </row>
    <row r="381" spans="1:8" x14ac:dyDescent="0.3">
      <c r="A381">
        <v>379</v>
      </c>
      <c r="B381">
        <v>380</v>
      </c>
      <c r="C381">
        <v>0.18179999999999999</v>
      </c>
      <c r="D381">
        <v>0.5</v>
      </c>
      <c r="E381">
        <v>0.1343</v>
      </c>
      <c r="F381">
        <v>4</v>
      </c>
      <c r="G381">
        <v>9</v>
      </c>
      <c r="H381">
        <v>13</v>
      </c>
    </row>
    <row r="382" spans="1:8" x14ac:dyDescent="0.3">
      <c r="A382">
        <v>380</v>
      </c>
      <c r="B382">
        <v>381</v>
      </c>
      <c r="C382">
        <v>0.1515</v>
      </c>
      <c r="D382">
        <v>0.47</v>
      </c>
      <c r="E382">
        <v>0.22389999999999999</v>
      </c>
      <c r="F382">
        <v>3</v>
      </c>
      <c r="G382">
        <v>30</v>
      </c>
      <c r="H382">
        <v>33</v>
      </c>
    </row>
    <row r="383" spans="1:8" x14ac:dyDescent="0.3">
      <c r="A383">
        <v>381</v>
      </c>
      <c r="B383">
        <v>382</v>
      </c>
      <c r="C383">
        <v>0.1515</v>
      </c>
      <c r="D383">
        <v>0.47</v>
      </c>
      <c r="E383">
        <v>0.22389999999999999</v>
      </c>
      <c r="F383">
        <v>8</v>
      </c>
      <c r="G383">
        <v>39</v>
      </c>
      <c r="H383">
        <v>47</v>
      </c>
    </row>
    <row r="384" spans="1:8" x14ac:dyDescent="0.3">
      <c r="A384">
        <v>382</v>
      </c>
      <c r="B384">
        <v>383</v>
      </c>
      <c r="C384">
        <v>0.1515</v>
      </c>
      <c r="D384">
        <v>0.5</v>
      </c>
      <c r="E384">
        <v>0.25369999999999998</v>
      </c>
      <c r="F384">
        <v>7</v>
      </c>
      <c r="G384">
        <v>50</v>
      </c>
      <c r="H384">
        <v>57</v>
      </c>
    </row>
    <row r="385" spans="1:8" x14ac:dyDescent="0.3">
      <c r="A385">
        <v>383</v>
      </c>
      <c r="B385">
        <v>384</v>
      </c>
      <c r="C385">
        <v>0.1515</v>
      </c>
      <c r="D385">
        <v>0.55000000000000004</v>
      </c>
      <c r="E385">
        <v>0.19400000000000001</v>
      </c>
      <c r="F385">
        <v>9</v>
      </c>
      <c r="G385">
        <v>55</v>
      </c>
      <c r="H385">
        <v>64</v>
      </c>
    </row>
    <row r="386" spans="1:8" x14ac:dyDescent="0.3">
      <c r="A386">
        <v>384</v>
      </c>
      <c r="B386">
        <v>385</v>
      </c>
      <c r="C386">
        <v>0.19700000000000001</v>
      </c>
      <c r="D386">
        <v>0.47</v>
      </c>
      <c r="E386">
        <v>0.1343</v>
      </c>
      <c r="F386">
        <v>10</v>
      </c>
      <c r="G386">
        <v>70</v>
      </c>
      <c r="H386">
        <v>80</v>
      </c>
    </row>
    <row r="387" spans="1:8" x14ac:dyDescent="0.3">
      <c r="A387">
        <v>385</v>
      </c>
      <c r="B387">
        <v>386</v>
      </c>
      <c r="C387">
        <v>0.19700000000000001</v>
      </c>
      <c r="D387">
        <v>0.47</v>
      </c>
      <c r="E387">
        <v>0.1343</v>
      </c>
      <c r="F387">
        <v>13</v>
      </c>
      <c r="G387">
        <v>80</v>
      </c>
      <c r="H387">
        <v>93</v>
      </c>
    </row>
    <row r="388" spans="1:8" x14ac:dyDescent="0.3">
      <c r="A388">
        <v>386</v>
      </c>
      <c r="B388">
        <v>387</v>
      </c>
      <c r="C388">
        <v>0.21210000000000001</v>
      </c>
      <c r="D388">
        <v>0.43</v>
      </c>
      <c r="E388">
        <v>0.1045</v>
      </c>
      <c r="F388">
        <v>12</v>
      </c>
      <c r="G388">
        <v>74</v>
      </c>
      <c r="H388">
        <v>86</v>
      </c>
    </row>
    <row r="389" spans="1:8" x14ac:dyDescent="0.3">
      <c r="A389">
        <v>387</v>
      </c>
      <c r="B389">
        <v>388</v>
      </c>
      <c r="C389">
        <v>0.21210000000000001</v>
      </c>
      <c r="D389">
        <v>0.47</v>
      </c>
      <c r="E389">
        <v>0.16420000000000001</v>
      </c>
      <c r="F389">
        <v>21</v>
      </c>
      <c r="G389">
        <v>72</v>
      </c>
      <c r="H389">
        <v>93</v>
      </c>
    </row>
    <row r="390" spans="1:8" x14ac:dyDescent="0.3">
      <c r="A390">
        <v>388</v>
      </c>
      <c r="B390">
        <v>389</v>
      </c>
      <c r="C390">
        <v>0.21210000000000001</v>
      </c>
      <c r="D390">
        <v>0.47</v>
      </c>
      <c r="E390">
        <v>0.16420000000000001</v>
      </c>
      <c r="F390">
        <v>6</v>
      </c>
      <c r="G390">
        <v>76</v>
      </c>
      <c r="H390">
        <v>82</v>
      </c>
    </row>
    <row r="391" spans="1:8" x14ac:dyDescent="0.3">
      <c r="A391">
        <v>389</v>
      </c>
      <c r="B391">
        <v>390</v>
      </c>
      <c r="C391">
        <v>0.19700000000000001</v>
      </c>
      <c r="D391">
        <v>0.51</v>
      </c>
      <c r="E391">
        <v>0.19400000000000001</v>
      </c>
      <c r="F391">
        <v>4</v>
      </c>
      <c r="G391">
        <v>67</v>
      </c>
      <c r="H391">
        <v>71</v>
      </c>
    </row>
    <row r="392" spans="1:8" x14ac:dyDescent="0.3">
      <c r="A392">
        <v>390</v>
      </c>
      <c r="B392">
        <v>391</v>
      </c>
      <c r="C392">
        <v>0.16669999999999999</v>
      </c>
      <c r="D392">
        <v>0.55000000000000004</v>
      </c>
      <c r="E392">
        <v>0.25369999999999998</v>
      </c>
      <c r="F392">
        <v>7</v>
      </c>
      <c r="G392">
        <v>85</v>
      </c>
      <c r="H392">
        <v>92</v>
      </c>
    </row>
    <row r="393" spans="1:8" x14ac:dyDescent="0.3">
      <c r="A393">
        <v>391</v>
      </c>
      <c r="B393">
        <v>392</v>
      </c>
      <c r="C393">
        <v>0.18179999999999999</v>
      </c>
      <c r="D393">
        <v>0.59</v>
      </c>
      <c r="E393">
        <v>0.19400000000000001</v>
      </c>
      <c r="F393">
        <v>2</v>
      </c>
      <c r="G393">
        <v>58</v>
      </c>
      <c r="H393">
        <v>60</v>
      </c>
    </row>
    <row r="394" spans="1:8" x14ac:dyDescent="0.3">
      <c r="A394">
        <v>392</v>
      </c>
      <c r="B394">
        <v>393</v>
      </c>
      <c r="C394">
        <v>0.1515</v>
      </c>
      <c r="D394">
        <v>0.8</v>
      </c>
      <c r="E394">
        <v>0.19400000000000001</v>
      </c>
      <c r="F394">
        <v>4</v>
      </c>
      <c r="G394">
        <v>29</v>
      </c>
      <c r="H394">
        <v>33</v>
      </c>
    </row>
    <row r="395" spans="1:8" x14ac:dyDescent="0.3">
      <c r="A395">
        <v>393</v>
      </c>
      <c r="B395">
        <v>394</v>
      </c>
      <c r="C395">
        <v>0.1515</v>
      </c>
      <c r="D395">
        <v>0.8</v>
      </c>
      <c r="E395">
        <v>0.19400000000000001</v>
      </c>
      <c r="F395">
        <v>3</v>
      </c>
      <c r="G395">
        <v>24</v>
      </c>
      <c r="H395">
        <v>27</v>
      </c>
    </row>
    <row r="396" spans="1:8" x14ac:dyDescent="0.3">
      <c r="A396">
        <v>394</v>
      </c>
      <c r="B396">
        <v>395</v>
      </c>
      <c r="C396">
        <v>0.1212</v>
      </c>
      <c r="D396">
        <v>0.93</v>
      </c>
      <c r="E396">
        <v>0.25369999999999998</v>
      </c>
      <c r="F396">
        <v>0</v>
      </c>
      <c r="G396">
        <v>13</v>
      </c>
      <c r="H396">
        <v>13</v>
      </c>
    </row>
    <row r="397" spans="1:8" x14ac:dyDescent="0.3">
      <c r="A397">
        <v>395</v>
      </c>
      <c r="B397">
        <v>396</v>
      </c>
      <c r="C397">
        <v>0.13639999999999999</v>
      </c>
      <c r="D397">
        <v>0.86</v>
      </c>
      <c r="E397">
        <v>0.28360000000000002</v>
      </c>
      <c r="F397">
        <v>1</v>
      </c>
      <c r="G397">
        <v>3</v>
      </c>
      <c r="H397">
        <v>4</v>
      </c>
    </row>
    <row r="398" spans="1:8" x14ac:dyDescent="0.3">
      <c r="A398">
        <v>396</v>
      </c>
      <c r="B398">
        <v>397</v>
      </c>
      <c r="C398">
        <v>0.18179999999999999</v>
      </c>
      <c r="D398">
        <v>0.86</v>
      </c>
      <c r="E398">
        <v>0.32840000000000003</v>
      </c>
      <c r="F398">
        <v>0</v>
      </c>
      <c r="G398">
        <v>3</v>
      </c>
      <c r="H398">
        <v>3</v>
      </c>
    </row>
    <row r="399" spans="1:8" x14ac:dyDescent="0.3">
      <c r="A399">
        <v>397</v>
      </c>
      <c r="B399">
        <v>398</v>
      </c>
      <c r="C399">
        <v>0.19700000000000001</v>
      </c>
      <c r="D399">
        <v>0.86</v>
      </c>
      <c r="E399">
        <v>0.22389999999999999</v>
      </c>
      <c r="F399">
        <v>0</v>
      </c>
      <c r="G399">
        <v>22</v>
      </c>
      <c r="H399">
        <v>22</v>
      </c>
    </row>
    <row r="400" spans="1:8" x14ac:dyDescent="0.3">
      <c r="A400">
        <v>398</v>
      </c>
      <c r="B400">
        <v>399</v>
      </c>
      <c r="C400">
        <v>0.2273</v>
      </c>
      <c r="D400">
        <v>0.8</v>
      </c>
      <c r="E400">
        <v>0.16420000000000001</v>
      </c>
      <c r="F400">
        <v>2</v>
      </c>
      <c r="G400">
        <v>26</v>
      </c>
      <c r="H400">
        <v>28</v>
      </c>
    </row>
    <row r="401" spans="1:8" x14ac:dyDescent="0.3">
      <c r="A401">
        <v>399</v>
      </c>
      <c r="B401">
        <v>400</v>
      </c>
      <c r="C401">
        <v>0.2273</v>
      </c>
      <c r="D401">
        <v>0.87</v>
      </c>
      <c r="E401">
        <v>0.16420000000000001</v>
      </c>
      <c r="F401">
        <v>3</v>
      </c>
      <c r="G401">
        <v>32</v>
      </c>
      <c r="H401">
        <v>35</v>
      </c>
    </row>
    <row r="402" spans="1:8" x14ac:dyDescent="0.3">
      <c r="A402">
        <v>400</v>
      </c>
      <c r="B402">
        <v>401</v>
      </c>
      <c r="C402">
        <v>0.2273</v>
      </c>
      <c r="D402">
        <v>0.87</v>
      </c>
      <c r="E402">
        <v>0.19400000000000001</v>
      </c>
      <c r="F402">
        <v>0</v>
      </c>
      <c r="G402">
        <v>61</v>
      </c>
      <c r="H402">
        <v>61</v>
      </c>
    </row>
    <row r="403" spans="1:8" x14ac:dyDescent="0.3">
      <c r="A403">
        <v>401</v>
      </c>
      <c r="B403">
        <v>402</v>
      </c>
      <c r="C403">
        <v>0.2273</v>
      </c>
      <c r="D403">
        <v>0.82</v>
      </c>
      <c r="E403">
        <v>0.19400000000000001</v>
      </c>
      <c r="F403">
        <v>1</v>
      </c>
      <c r="G403">
        <v>124</v>
      </c>
      <c r="H403">
        <v>125</v>
      </c>
    </row>
    <row r="404" spans="1:8" x14ac:dyDescent="0.3">
      <c r="A404">
        <v>402</v>
      </c>
      <c r="B404">
        <v>403</v>
      </c>
      <c r="C404">
        <v>0.2273</v>
      </c>
      <c r="D404">
        <v>0.8</v>
      </c>
      <c r="E404">
        <v>0.16420000000000001</v>
      </c>
      <c r="F404">
        <v>1</v>
      </c>
      <c r="G404">
        <v>132</v>
      </c>
      <c r="H404">
        <v>133</v>
      </c>
    </row>
    <row r="405" spans="1:8" x14ac:dyDescent="0.3">
      <c r="A405">
        <v>403</v>
      </c>
      <c r="B405">
        <v>404</v>
      </c>
      <c r="C405">
        <v>0.2273</v>
      </c>
      <c r="D405">
        <v>0.8</v>
      </c>
      <c r="E405">
        <v>0.1343</v>
      </c>
      <c r="F405">
        <v>1</v>
      </c>
      <c r="G405">
        <v>98</v>
      </c>
      <c r="H405">
        <v>99</v>
      </c>
    </row>
    <row r="406" spans="1:8" x14ac:dyDescent="0.3">
      <c r="A406">
        <v>404</v>
      </c>
      <c r="B406">
        <v>405</v>
      </c>
      <c r="C406">
        <v>0.2727</v>
      </c>
      <c r="D406">
        <v>0.87</v>
      </c>
      <c r="E406">
        <v>0</v>
      </c>
      <c r="F406">
        <v>0</v>
      </c>
      <c r="G406">
        <v>83</v>
      </c>
      <c r="H406">
        <v>83</v>
      </c>
    </row>
    <row r="407" spans="1:8" x14ac:dyDescent="0.3">
      <c r="A407">
        <v>405</v>
      </c>
      <c r="B407">
        <v>406</v>
      </c>
      <c r="C407">
        <v>0.2424</v>
      </c>
      <c r="D407">
        <v>0.93</v>
      </c>
      <c r="E407">
        <v>0.1045</v>
      </c>
      <c r="F407">
        <v>0</v>
      </c>
      <c r="G407">
        <v>41</v>
      </c>
      <c r="H407">
        <v>41</v>
      </c>
    </row>
    <row r="408" spans="1:8" x14ac:dyDescent="0.3">
      <c r="A408">
        <v>406</v>
      </c>
      <c r="B408">
        <v>407</v>
      </c>
      <c r="C408">
        <v>0.2576</v>
      </c>
      <c r="D408">
        <v>0.93</v>
      </c>
      <c r="E408">
        <v>8.9599999999999999E-2</v>
      </c>
      <c r="F408">
        <v>0</v>
      </c>
      <c r="G408">
        <v>33</v>
      </c>
      <c r="H408">
        <v>33</v>
      </c>
    </row>
    <row r="409" spans="1:8" x14ac:dyDescent="0.3">
      <c r="A409">
        <v>407</v>
      </c>
      <c r="B409">
        <v>408</v>
      </c>
      <c r="C409">
        <v>0.2727</v>
      </c>
      <c r="D409">
        <v>0.93</v>
      </c>
      <c r="E409">
        <v>0</v>
      </c>
      <c r="F409">
        <v>1</v>
      </c>
      <c r="G409">
        <v>19</v>
      </c>
      <c r="H409">
        <v>20</v>
      </c>
    </row>
    <row r="410" spans="1:8" x14ac:dyDescent="0.3">
      <c r="A410">
        <v>408</v>
      </c>
      <c r="B410">
        <v>409</v>
      </c>
      <c r="C410">
        <v>0.2727</v>
      </c>
      <c r="D410">
        <v>0.93</v>
      </c>
      <c r="E410">
        <v>0</v>
      </c>
      <c r="F410">
        <v>0</v>
      </c>
      <c r="G410">
        <v>3</v>
      </c>
      <c r="H410">
        <v>3</v>
      </c>
    </row>
    <row r="411" spans="1:8" x14ac:dyDescent="0.3">
      <c r="A411">
        <v>409</v>
      </c>
      <c r="B411">
        <v>410</v>
      </c>
      <c r="C411">
        <v>0.2273</v>
      </c>
      <c r="D411">
        <v>0.93</v>
      </c>
      <c r="E411">
        <v>0.1343</v>
      </c>
      <c r="F411">
        <v>1</v>
      </c>
      <c r="G411">
        <v>6</v>
      </c>
      <c r="H411">
        <v>7</v>
      </c>
    </row>
    <row r="412" spans="1:8" x14ac:dyDescent="0.3">
      <c r="A412">
        <v>410</v>
      </c>
      <c r="B412">
        <v>411</v>
      </c>
      <c r="C412">
        <v>0.2273</v>
      </c>
      <c r="D412">
        <v>0.93</v>
      </c>
      <c r="E412">
        <v>0.1343</v>
      </c>
      <c r="F412">
        <v>0</v>
      </c>
      <c r="G412">
        <v>3</v>
      </c>
      <c r="H412">
        <v>3</v>
      </c>
    </row>
    <row r="413" spans="1:8" x14ac:dyDescent="0.3">
      <c r="A413">
        <v>411</v>
      </c>
      <c r="B413">
        <v>412</v>
      </c>
      <c r="C413">
        <v>0.2273</v>
      </c>
      <c r="D413">
        <v>0.93</v>
      </c>
      <c r="E413">
        <v>0.1343</v>
      </c>
      <c r="F413">
        <v>1</v>
      </c>
      <c r="G413">
        <v>1</v>
      </c>
      <c r="H413">
        <v>2</v>
      </c>
    </row>
    <row r="414" spans="1:8" x14ac:dyDescent="0.3">
      <c r="A414">
        <v>412</v>
      </c>
      <c r="B414">
        <v>413</v>
      </c>
      <c r="C414">
        <v>0.2576</v>
      </c>
      <c r="D414">
        <v>0.93</v>
      </c>
      <c r="E414">
        <v>8.9599999999999999E-2</v>
      </c>
      <c r="F414">
        <v>0</v>
      </c>
      <c r="G414">
        <v>7</v>
      </c>
      <c r="H414">
        <v>7</v>
      </c>
    </row>
    <row r="415" spans="1:8" x14ac:dyDescent="0.3">
      <c r="A415">
        <v>413</v>
      </c>
      <c r="B415">
        <v>414</v>
      </c>
      <c r="C415">
        <v>0.2576</v>
      </c>
      <c r="D415">
        <v>0.93</v>
      </c>
      <c r="E415">
        <v>8.9599999999999999E-2</v>
      </c>
      <c r="F415">
        <v>0</v>
      </c>
      <c r="G415">
        <v>32</v>
      </c>
      <c r="H415">
        <v>32</v>
      </c>
    </row>
    <row r="416" spans="1:8" x14ac:dyDescent="0.3">
      <c r="A416">
        <v>414</v>
      </c>
      <c r="B416">
        <v>415</v>
      </c>
      <c r="C416">
        <v>0.2576</v>
      </c>
      <c r="D416">
        <v>0.92</v>
      </c>
      <c r="E416">
        <v>0.1045</v>
      </c>
      <c r="F416">
        <v>1</v>
      </c>
      <c r="G416">
        <v>89</v>
      </c>
      <c r="H416">
        <v>90</v>
      </c>
    </row>
    <row r="417" spans="1:8" x14ac:dyDescent="0.3">
      <c r="A417">
        <v>415</v>
      </c>
      <c r="B417">
        <v>416</v>
      </c>
      <c r="C417">
        <v>0.2576</v>
      </c>
      <c r="D417">
        <v>0.93</v>
      </c>
      <c r="E417">
        <v>0.1045</v>
      </c>
      <c r="F417">
        <v>1</v>
      </c>
      <c r="G417">
        <v>196</v>
      </c>
      <c r="H417">
        <v>197</v>
      </c>
    </row>
    <row r="418" spans="1:8" x14ac:dyDescent="0.3">
      <c r="A418">
        <v>416</v>
      </c>
      <c r="B418">
        <v>417</v>
      </c>
      <c r="C418">
        <v>0.2576</v>
      </c>
      <c r="D418">
        <v>0.93</v>
      </c>
      <c r="E418">
        <v>0.1045</v>
      </c>
      <c r="F418">
        <v>2</v>
      </c>
      <c r="G418">
        <v>107</v>
      </c>
      <c r="H418">
        <v>109</v>
      </c>
    </row>
    <row r="419" spans="1:8" x14ac:dyDescent="0.3">
      <c r="A419">
        <v>417</v>
      </c>
      <c r="B419">
        <v>418</v>
      </c>
      <c r="C419">
        <v>0.2727</v>
      </c>
      <c r="D419">
        <v>0.93</v>
      </c>
      <c r="E419">
        <v>0.1343</v>
      </c>
      <c r="F419">
        <v>1</v>
      </c>
      <c r="G419">
        <v>46</v>
      </c>
      <c r="H419">
        <v>47</v>
      </c>
    </row>
    <row r="420" spans="1:8" x14ac:dyDescent="0.3">
      <c r="A420">
        <v>418</v>
      </c>
      <c r="B420">
        <v>419</v>
      </c>
      <c r="C420">
        <v>0.30299999999999999</v>
      </c>
      <c r="D420">
        <v>0.87</v>
      </c>
      <c r="E420">
        <v>8.9599999999999999E-2</v>
      </c>
      <c r="F420">
        <v>5</v>
      </c>
      <c r="G420">
        <v>47</v>
      </c>
      <c r="H420">
        <v>52</v>
      </c>
    </row>
    <row r="421" spans="1:8" x14ac:dyDescent="0.3">
      <c r="A421">
        <v>419</v>
      </c>
      <c r="B421">
        <v>420</v>
      </c>
      <c r="C421">
        <v>0.31819999999999998</v>
      </c>
      <c r="D421">
        <v>0.81</v>
      </c>
      <c r="E421">
        <v>8.9599999999999999E-2</v>
      </c>
      <c r="F421">
        <v>5</v>
      </c>
      <c r="G421">
        <v>65</v>
      </c>
      <c r="H421">
        <v>70</v>
      </c>
    </row>
    <row r="422" spans="1:8" x14ac:dyDescent="0.3">
      <c r="A422">
        <v>420</v>
      </c>
      <c r="B422">
        <v>421</v>
      </c>
      <c r="C422">
        <v>0.40910000000000002</v>
      </c>
      <c r="D422">
        <v>0.62</v>
      </c>
      <c r="E422">
        <v>0.28360000000000002</v>
      </c>
      <c r="F422">
        <v>11</v>
      </c>
      <c r="G422">
        <v>67</v>
      </c>
      <c r="H422">
        <v>78</v>
      </c>
    </row>
    <row r="423" spans="1:8" x14ac:dyDescent="0.3">
      <c r="A423">
        <v>421</v>
      </c>
      <c r="B423">
        <v>422</v>
      </c>
      <c r="C423">
        <v>0.40910000000000002</v>
      </c>
      <c r="D423">
        <v>0.57999999999999996</v>
      </c>
      <c r="E423">
        <v>0.25369999999999998</v>
      </c>
      <c r="F423">
        <v>7</v>
      </c>
      <c r="G423">
        <v>68</v>
      </c>
      <c r="H423">
        <v>75</v>
      </c>
    </row>
    <row r="424" spans="1:8" x14ac:dyDescent="0.3">
      <c r="A424">
        <v>422</v>
      </c>
      <c r="B424">
        <v>423</v>
      </c>
      <c r="C424">
        <v>0.40910000000000002</v>
      </c>
      <c r="D424">
        <v>0.54</v>
      </c>
      <c r="E424">
        <v>0.28360000000000002</v>
      </c>
      <c r="F424">
        <v>4</v>
      </c>
      <c r="G424">
        <v>78</v>
      </c>
      <c r="H424">
        <v>82</v>
      </c>
    </row>
    <row r="425" spans="1:8" x14ac:dyDescent="0.3">
      <c r="A425">
        <v>423</v>
      </c>
      <c r="B425">
        <v>424</v>
      </c>
      <c r="C425">
        <v>0.39389999999999997</v>
      </c>
      <c r="D425">
        <v>0.57999999999999996</v>
      </c>
      <c r="E425">
        <v>0.3881</v>
      </c>
      <c r="F425">
        <v>10</v>
      </c>
      <c r="G425">
        <v>94</v>
      </c>
      <c r="H425">
        <v>104</v>
      </c>
    </row>
    <row r="426" spans="1:8" x14ac:dyDescent="0.3">
      <c r="A426">
        <v>424</v>
      </c>
      <c r="B426">
        <v>425</v>
      </c>
      <c r="C426">
        <v>0.33329999999999999</v>
      </c>
      <c r="D426">
        <v>0.56999999999999995</v>
      </c>
      <c r="E426">
        <v>0.32840000000000003</v>
      </c>
      <c r="F426">
        <v>7</v>
      </c>
      <c r="G426">
        <v>190</v>
      </c>
      <c r="H426">
        <v>197</v>
      </c>
    </row>
    <row r="427" spans="1:8" x14ac:dyDescent="0.3">
      <c r="A427">
        <v>425</v>
      </c>
      <c r="B427">
        <v>426</v>
      </c>
      <c r="C427">
        <v>0.31819999999999998</v>
      </c>
      <c r="D427">
        <v>0.61</v>
      </c>
      <c r="E427">
        <v>0.28360000000000002</v>
      </c>
      <c r="F427">
        <v>5</v>
      </c>
      <c r="G427">
        <v>156</v>
      </c>
      <c r="H427">
        <v>161</v>
      </c>
    </row>
    <row r="428" spans="1:8" x14ac:dyDescent="0.3">
      <c r="A428">
        <v>426</v>
      </c>
      <c r="B428">
        <v>427</v>
      </c>
      <c r="C428">
        <v>0.28789999999999999</v>
      </c>
      <c r="D428">
        <v>0.56999999999999995</v>
      </c>
      <c r="E428">
        <v>0.41789999999999999</v>
      </c>
      <c r="F428">
        <v>4</v>
      </c>
      <c r="G428">
        <v>108</v>
      </c>
      <c r="H428">
        <v>112</v>
      </c>
    </row>
    <row r="429" spans="1:8" x14ac:dyDescent="0.3">
      <c r="A429">
        <v>427</v>
      </c>
      <c r="B429">
        <v>428</v>
      </c>
      <c r="C429">
        <v>0.30299999999999999</v>
      </c>
      <c r="D429">
        <v>0.49</v>
      </c>
      <c r="E429">
        <v>0.29849999999999999</v>
      </c>
      <c r="F429">
        <v>2</v>
      </c>
      <c r="G429">
        <v>74</v>
      </c>
      <c r="H429">
        <v>76</v>
      </c>
    </row>
    <row r="430" spans="1:8" x14ac:dyDescent="0.3">
      <c r="A430">
        <v>428</v>
      </c>
      <c r="B430">
        <v>429</v>
      </c>
      <c r="C430">
        <v>0.28789999999999999</v>
      </c>
      <c r="D430">
        <v>0.49</v>
      </c>
      <c r="E430">
        <v>0.41789999999999999</v>
      </c>
      <c r="F430">
        <v>4</v>
      </c>
      <c r="G430">
        <v>55</v>
      </c>
      <c r="H430">
        <v>59</v>
      </c>
    </row>
    <row r="431" spans="1:8" x14ac:dyDescent="0.3">
      <c r="A431">
        <v>429</v>
      </c>
      <c r="B431">
        <v>430</v>
      </c>
      <c r="C431">
        <v>0.30299999999999999</v>
      </c>
      <c r="D431">
        <v>0.52</v>
      </c>
      <c r="E431">
        <v>0.16420000000000001</v>
      </c>
      <c r="F431">
        <v>6</v>
      </c>
      <c r="G431">
        <v>53</v>
      </c>
      <c r="H431">
        <v>59</v>
      </c>
    </row>
    <row r="432" spans="1:8" x14ac:dyDescent="0.3">
      <c r="A432">
        <v>430</v>
      </c>
      <c r="B432">
        <v>431</v>
      </c>
      <c r="C432">
        <v>0.2727</v>
      </c>
      <c r="D432">
        <v>0.52</v>
      </c>
      <c r="E432">
        <v>0.4627</v>
      </c>
      <c r="F432">
        <v>1</v>
      </c>
      <c r="G432">
        <v>27</v>
      </c>
      <c r="H432">
        <v>28</v>
      </c>
    </row>
    <row r="433" spans="1:8" x14ac:dyDescent="0.3">
      <c r="A433">
        <v>431</v>
      </c>
      <c r="B433">
        <v>432</v>
      </c>
      <c r="C433">
        <v>0.2273</v>
      </c>
      <c r="D433">
        <v>0.56000000000000005</v>
      </c>
      <c r="E433">
        <v>0.3881</v>
      </c>
      <c r="F433">
        <v>5</v>
      </c>
      <c r="G433">
        <v>8</v>
      </c>
      <c r="H433">
        <v>13</v>
      </c>
    </row>
    <row r="434" spans="1:8" x14ac:dyDescent="0.3">
      <c r="A434">
        <v>432</v>
      </c>
      <c r="B434">
        <v>433</v>
      </c>
      <c r="C434">
        <v>0.2727</v>
      </c>
      <c r="D434">
        <v>0.56000000000000005</v>
      </c>
      <c r="E434">
        <v>0</v>
      </c>
      <c r="F434">
        <v>2</v>
      </c>
      <c r="G434">
        <v>3</v>
      </c>
      <c r="H434">
        <v>5</v>
      </c>
    </row>
    <row r="435" spans="1:8" x14ac:dyDescent="0.3">
      <c r="A435">
        <v>433</v>
      </c>
      <c r="B435">
        <v>434</v>
      </c>
      <c r="C435">
        <v>0.2727</v>
      </c>
      <c r="D435">
        <v>0.56000000000000005</v>
      </c>
      <c r="E435">
        <v>0</v>
      </c>
      <c r="F435">
        <v>0</v>
      </c>
      <c r="G435">
        <v>2</v>
      </c>
      <c r="H435">
        <v>2</v>
      </c>
    </row>
    <row r="436" spans="1:8" x14ac:dyDescent="0.3">
      <c r="A436">
        <v>434</v>
      </c>
      <c r="B436">
        <v>435</v>
      </c>
      <c r="C436">
        <v>0.2576</v>
      </c>
      <c r="D436">
        <v>0.56000000000000005</v>
      </c>
      <c r="E436">
        <v>0.16420000000000001</v>
      </c>
      <c r="F436">
        <v>0</v>
      </c>
      <c r="G436">
        <v>1</v>
      </c>
      <c r="H436">
        <v>1</v>
      </c>
    </row>
    <row r="437" spans="1:8" x14ac:dyDescent="0.3">
      <c r="A437">
        <v>435</v>
      </c>
      <c r="B437">
        <v>436</v>
      </c>
      <c r="C437">
        <v>0.2576</v>
      </c>
      <c r="D437">
        <v>0.56000000000000005</v>
      </c>
      <c r="E437">
        <v>0.16420000000000001</v>
      </c>
      <c r="F437">
        <v>0</v>
      </c>
      <c r="G437">
        <v>1</v>
      </c>
      <c r="H437">
        <v>1</v>
      </c>
    </row>
    <row r="438" spans="1:8" x14ac:dyDescent="0.3">
      <c r="A438">
        <v>436</v>
      </c>
      <c r="B438">
        <v>437</v>
      </c>
      <c r="C438">
        <v>0.2273</v>
      </c>
      <c r="D438">
        <v>0.6</v>
      </c>
      <c r="E438">
        <v>0.22389999999999999</v>
      </c>
      <c r="F438">
        <v>0</v>
      </c>
      <c r="G438">
        <v>6</v>
      </c>
      <c r="H438">
        <v>6</v>
      </c>
    </row>
    <row r="439" spans="1:8" x14ac:dyDescent="0.3">
      <c r="A439">
        <v>437</v>
      </c>
      <c r="B439">
        <v>438</v>
      </c>
      <c r="C439">
        <v>0.21210000000000001</v>
      </c>
      <c r="D439">
        <v>0.6</v>
      </c>
      <c r="E439">
        <v>0.22389999999999999</v>
      </c>
      <c r="F439">
        <v>0</v>
      </c>
      <c r="G439">
        <v>35</v>
      </c>
      <c r="H439">
        <v>35</v>
      </c>
    </row>
    <row r="440" spans="1:8" x14ac:dyDescent="0.3">
      <c r="A440">
        <v>438</v>
      </c>
      <c r="B440">
        <v>439</v>
      </c>
      <c r="C440">
        <v>0.21210000000000001</v>
      </c>
      <c r="D440">
        <v>0.55000000000000004</v>
      </c>
      <c r="E440">
        <v>0.22389999999999999</v>
      </c>
      <c r="F440">
        <v>1</v>
      </c>
      <c r="G440">
        <v>100</v>
      </c>
      <c r="H440">
        <v>101</v>
      </c>
    </row>
    <row r="441" spans="1:8" x14ac:dyDescent="0.3">
      <c r="A441">
        <v>439</v>
      </c>
      <c r="B441">
        <v>440</v>
      </c>
      <c r="C441">
        <v>0.21210000000000001</v>
      </c>
      <c r="D441">
        <v>0.55000000000000004</v>
      </c>
      <c r="E441">
        <v>0.28360000000000002</v>
      </c>
      <c r="F441">
        <v>2</v>
      </c>
      <c r="G441">
        <v>247</v>
      </c>
      <c r="H441">
        <v>249</v>
      </c>
    </row>
    <row r="442" spans="1:8" x14ac:dyDescent="0.3">
      <c r="A442">
        <v>440</v>
      </c>
      <c r="B442">
        <v>441</v>
      </c>
      <c r="C442">
        <v>0.2273</v>
      </c>
      <c r="D442">
        <v>0.52</v>
      </c>
      <c r="E442">
        <v>0.22389999999999999</v>
      </c>
      <c r="F442">
        <v>3</v>
      </c>
      <c r="G442">
        <v>140</v>
      </c>
      <c r="H442">
        <v>143</v>
      </c>
    </row>
    <row r="443" spans="1:8" x14ac:dyDescent="0.3">
      <c r="A443">
        <v>441</v>
      </c>
      <c r="B443">
        <v>442</v>
      </c>
      <c r="C443">
        <v>0.2273</v>
      </c>
      <c r="D443">
        <v>0.48</v>
      </c>
      <c r="E443">
        <v>0.29849999999999999</v>
      </c>
      <c r="F443">
        <v>1</v>
      </c>
      <c r="G443">
        <v>56</v>
      </c>
      <c r="H443">
        <v>57</v>
      </c>
    </row>
    <row r="444" spans="1:8" x14ac:dyDescent="0.3">
      <c r="A444">
        <v>442</v>
      </c>
      <c r="B444">
        <v>443</v>
      </c>
      <c r="C444">
        <v>0.2727</v>
      </c>
      <c r="D444">
        <v>0.45</v>
      </c>
      <c r="E444">
        <v>0.16420000000000001</v>
      </c>
      <c r="F444">
        <v>5</v>
      </c>
      <c r="G444">
        <v>63</v>
      </c>
      <c r="H444">
        <v>68</v>
      </c>
    </row>
    <row r="445" spans="1:8" x14ac:dyDescent="0.3">
      <c r="A445">
        <v>443</v>
      </c>
      <c r="B445">
        <v>444</v>
      </c>
      <c r="C445">
        <v>0.33329999999999999</v>
      </c>
      <c r="D445">
        <v>0.42</v>
      </c>
      <c r="E445">
        <v>0</v>
      </c>
      <c r="F445">
        <v>7</v>
      </c>
      <c r="G445">
        <v>77</v>
      </c>
      <c r="H445">
        <v>84</v>
      </c>
    </row>
    <row r="446" spans="1:8" x14ac:dyDescent="0.3">
      <c r="A446">
        <v>444</v>
      </c>
      <c r="B446">
        <v>445</v>
      </c>
      <c r="C446">
        <v>0.28789999999999999</v>
      </c>
      <c r="D446">
        <v>0.45</v>
      </c>
      <c r="E446">
        <v>0.1045</v>
      </c>
      <c r="F446">
        <v>12</v>
      </c>
      <c r="G446">
        <v>86</v>
      </c>
      <c r="H446">
        <v>98</v>
      </c>
    </row>
    <row r="447" spans="1:8" x14ac:dyDescent="0.3">
      <c r="A447">
        <v>445</v>
      </c>
      <c r="B447">
        <v>446</v>
      </c>
      <c r="C447">
        <v>0.30299999999999999</v>
      </c>
      <c r="D447">
        <v>0.45</v>
      </c>
      <c r="E447">
        <v>0.1343</v>
      </c>
      <c r="F447">
        <v>6</v>
      </c>
      <c r="G447">
        <v>75</v>
      </c>
      <c r="H447">
        <v>81</v>
      </c>
    </row>
    <row r="448" spans="1:8" x14ac:dyDescent="0.3">
      <c r="A448">
        <v>446</v>
      </c>
      <c r="B448">
        <v>447</v>
      </c>
      <c r="C448">
        <v>0.31819999999999998</v>
      </c>
      <c r="D448">
        <v>0.45</v>
      </c>
      <c r="E448">
        <v>0.19400000000000001</v>
      </c>
      <c r="F448">
        <v>8</v>
      </c>
      <c r="G448">
        <v>62</v>
      </c>
      <c r="H448">
        <v>70</v>
      </c>
    </row>
    <row r="449" spans="1:8" x14ac:dyDescent="0.3">
      <c r="A449">
        <v>447</v>
      </c>
      <c r="B449">
        <v>448</v>
      </c>
      <c r="C449">
        <v>0.30299999999999999</v>
      </c>
      <c r="D449">
        <v>0.49</v>
      </c>
      <c r="E449">
        <v>0.1343</v>
      </c>
      <c r="F449">
        <v>8</v>
      </c>
      <c r="G449">
        <v>83</v>
      </c>
      <c r="H449">
        <v>91</v>
      </c>
    </row>
    <row r="450" spans="1:8" x14ac:dyDescent="0.3">
      <c r="A450">
        <v>448</v>
      </c>
      <c r="B450">
        <v>449</v>
      </c>
      <c r="C450">
        <v>0.31819999999999998</v>
      </c>
      <c r="D450">
        <v>0.49</v>
      </c>
      <c r="E450">
        <v>0.1045</v>
      </c>
      <c r="F450">
        <v>8</v>
      </c>
      <c r="G450">
        <v>207</v>
      </c>
      <c r="H450">
        <v>215</v>
      </c>
    </row>
    <row r="451" spans="1:8" x14ac:dyDescent="0.3">
      <c r="A451">
        <v>449</v>
      </c>
      <c r="B451">
        <v>450</v>
      </c>
      <c r="C451">
        <v>0.2576</v>
      </c>
      <c r="D451">
        <v>0.56000000000000005</v>
      </c>
      <c r="E451">
        <v>0.19400000000000001</v>
      </c>
      <c r="F451">
        <v>1</v>
      </c>
      <c r="G451">
        <v>184</v>
      </c>
      <c r="H451">
        <v>185</v>
      </c>
    </row>
    <row r="452" spans="1:8" x14ac:dyDescent="0.3">
      <c r="A452">
        <v>450</v>
      </c>
      <c r="B452">
        <v>451</v>
      </c>
      <c r="C452">
        <v>0.2273</v>
      </c>
      <c r="D452">
        <v>0.56000000000000005</v>
      </c>
      <c r="E452">
        <v>0.32840000000000003</v>
      </c>
      <c r="F452">
        <v>6</v>
      </c>
      <c r="G452">
        <v>146</v>
      </c>
      <c r="H452">
        <v>152</v>
      </c>
    </row>
    <row r="453" spans="1:8" x14ac:dyDescent="0.3">
      <c r="A453">
        <v>451</v>
      </c>
      <c r="B453">
        <v>452</v>
      </c>
      <c r="C453">
        <v>0.2424</v>
      </c>
      <c r="D453">
        <v>0.6</v>
      </c>
      <c r="E453">
        <v>0.28360000000000002</v>
      </c>
      <c r="F453">
        <v>2</v>
      </c>
      <c r="G453">
        <v>124</v>
      </c>
      <c r="H453">
        <v>126</v>
      </c>
    </row>
    <row r="454" spans="1:8" x14ac:dyDescent="0.3">
      <c r="A454">
        <v>452</v>
      </c>
      <c r="B454">
        <v>453</v>
      </c>
      <c r="C454">
        <v>0.2273</v>
      </c>
      <c r="D454">
        <v>0.6</v>
      </c>
      <c r="E454">
        <v>0.25369999999999998</v>
      </c>
      <c r="F454">
        <v>3</v>
      </c>
      <c r="G454">
        <v>54</v>
      </c>
      <c r="H454">
        <v>57</v>
      </c>
    </row>
    <row r="455" spans="1:8" x14ac:dyDescent="0.3">
      <c r="A455">
        <v>453</v>
      </c>
      <c r="B455">
        <v>454</v>
      </c>
      <c r="C455">
        <v>0.21210000000000001</v>
      </c>
      <c r="D455">
        <v>0.65</v>
      </c>
      <c r="E455">
        <v>0.28360000000000002</v>
      </c>
      <c r="F455">
        <v>0</v>
      </c>
      <c r="G455">
        <v>56</v>
      </c>
      <c r="H455">
        <v>56</v>
      </c>
    </row>
    <row r="456" spans="1:8" x14ac:dyDescent="0.3">
      <c r="A456">
        <v>454</v>
      </c>
      <c r="B456">
        <v>455</v>
      </c>
      <c r="C456">
        <v>0.21210000000000001</v>
      </c>
      <c r="D456">
        <v>0.65</v>
      </c>
      <c r="E456">
        <v>0.32840000000000003</v>
      </c>
      <c r="F456">
        <v>3</v>
      </c>
      <c r="G456">
        <v>28</v>
      </c>
      <c r="H456">
        <v>31</v>
      </c>
    </row>
    <row r="457" spans="1:8" x14ac:dyDescent="0.3">
      <c r="A457">
        <v>455</v>
      </c>
      <c r="B457">
        <v>456</v>
      </c>
      <c r="C457">
        <v>0.2273</v>
      </c>
      <c r="D457">
        <v>0.7</v>
      </c>
      <c r="E457">
        <v>0.25369999999999998</v>
      </c>
      <c r="F457">
        <v>1</v>
      </c>
      <c r="G457">
        <v>20</v>
      </c>
      <c r="H457">
        <v>21</v>
      </c>
    </row>
    <row r="458" spans="1:8" x14ac:dyDescent="0.3">
      <c r="A458">
        <v>456</v>
      </c>
      <c r="B458">
        <v>457</v>
      </c>
      <c r="C458">
        <v>0.2273</v>
      </c>
      <c r="D458">
        <v>0.7</v>
      </c>
      <c r="E458">
        <v>0.25369999999999998</v>
      </c>
      <c r="F458">
        <v>0</v>
      </c>
      <c r="G458">
        <v>6</v>
      </c>
      <c r="H458">
        <v>6</v>
      </c>
    </row>
    <row r="459" spans="1:8" x14ac:dyDescent="0.3">
      <c r="A459">
        <v>457</v>
      </c>
      <c r="B459">
        <v>458</v>
      </c>
      <c r="C459">
        <v>0.2424</v>
      </c>
      <c r="D459">
        <v>0.75</v>
      </c>
      <c r="E459">
        <v>0.16420000000000001</v>
      </c>
      <c r="F459">
        <v>0</v>
      </c>
      <c r="G459">
        <v>2</v>
      </c>
      <c r="H459">
        <v>2</v>
      </c>
    </row>
    <row r="460" spans="1:8" x14ac:dyDescent="0.3">
      <c r="A460">
        <v>458</v>
      </c>
      <c r="B460">
        <v>459</v>
      </c>
      <c r="C460">
        <v>0.21210000000000001</v>
      </c>
      <c r="D460">
        <v>0.8</v>
      </c>
      <c r="E460">
        <v>0.29849999999999999</v>
      </c>
      <c r="F460">
        <v>0</v>
      </c>
      <c r="G460">
        <v>1</v>
      </c>
      <c r="H460">
        <v>1</v>
      </c>
    </row>
    <row r="461" spans="1:8" x14ac:dyDescent="0.3">
      <c r="A461">
        <v>459</v>
      </c>
      <c r="B461">
        <v>460</v>
      </c>
      <c r="C461">
        <v>0.2576</v>
      </c>
      <c r="D461">
        <v>0.87</v>
      </c>
      <c r="E461">
        <v>8.9599999999999999E-2</v>
      </c>
      <c r="F461">
        <v>0</v>
      </c>
      <c r="G461">
        <v>1</v>
      </c>
      <c r="H461">
        <v>1</v>
      </c>
    </row>
    <row r="462" spans="1:8" x14ac:dyDescent="0.3">
      <c r="A462">
        <v>460</v>
      </c>
      <c r="B462">
        <v>461</v>
      </c>
      <c r="C462">
        <v>0.19700000000000001</v>
      </c>
      <c r="D462">
        <v>0.6</v>
      </c>
      <c r="E462">
        <v>0.41789999999999999</v>
      </c>
      <c r="F462">
        <v>1</v>
      </c>
      <c r="G462">
        <v>4</v>
      </c>
      <c r="H462">
        <v>5</v>
      </c>
    </row>
    <row r="463" spans="1:8" x14ac:dyDescent="0.3">
      <c r="A463">
        <v>461</v>
      </c>
      <c r="B463">
        <v>462</v>
      </c>
      <c r="C463">
        <v>0.21210000000000001</v>
      </c>
      <c r="D463">
        <v>0.55000000000000004</v>
      </c>
      <c r="E463">
        <v>0.25369999999999998</v>
      </c>
      <c r="F463">
        <v>0</v>
      </c>
      <c r="G463">
        <v>27</v>
      </c>
      <c r="H463">
        <v>27</v>
      </c>
    </row>
    <row r="464" spans="1:8" x14ac:dyDescent="0.3">
      <c r="A464">
        <v>462</v>
      </c>
      <c r="B464">
        <v>463</v>
      </c>
      <c r="C464">
        <v>0.18179999999999999</v>
      </c>
      <c r="D464">
        <v>0.51</v>
      </c>
      <c r="E464">
        <v>0.28360000000000002</v>
      </c>
      <c r="F464">
        <v>2</v>
      </c>
      <c r="G464">
        <v>66</v>
      </c>
      <c r="H464">
        <v>68</v>
      </c>
    </row>
    <row r="465" spans="1:8" x14ac:dyDescent="0.3">
      <c r="A465">
        <v>463</v>
      </c>
      <c r="B465">
        <v>464</v>
      </c>
      <c r="C465">
        <v>0.18179999999999999</v>
      </c>
      <c r="D465">
        <v>0.47</v>
      </c>
      <c r="E465">
        <v>0.32840000000000003</v>
      </c>
      <c r="F465">
        <v>7</v>
      </c>
      <c r="G465">
        <v>210</v>
      </c>
      <c r="H465">
        <v>217</v>
      </c>
    </row>
    <row r="466" spans="1:8" x14ac:dyDescent="0.3">
      <c r="A466">
        <v>464</v>
      </c>
      <c r="B466">
        <v>465</v>
      </c>
      <c r="C466">
        <v>0.18179999999999999</v>
      </c>
      <c r="D466">
        <v>0.51</v>
      </c>
      <c r="E466">
        <v>0.35820000000000002</v>
      </c>
      <c r="F466">
        <v>7</v>
      </c>
      <c r="G466">
        <v>159</v>
      </c>
      <c r="H466">
        <v>166</v>
      </c>
    </row>
    <row r="467" spans="1:8" x14ac:dyDescent="0.3">
      <c r="A467">
        <v>465</v>
      </c>
      <c r="B467">
        <v>466</v>
      </c>
      <c r="C467">
        <v>0.16669999999999999</v>
      </c>
      <c r="D467">
        <v>0.47</v>
      </c>
      <c r="E467">
        <v>0.4627</v>
      </c>
      <c r="F467">
        <v>6</v>
      </c>
      <c r="G467">
        <v>57</v>
      </c>
      <c r="H467">
        <v>63</v>
      </c>
    </row>
    <row r="468" spans="1:8" x14ac:dyDescent="0.3">
      <c r="A468">
        <v>466</v>
      </c>
      <c r="B468">
        <v>467</v>
      </c>
      <c r="C468">
        <v>0.18179999999999999</v>
      </c>
      <c r="D468">
        <v>0.41</v>
      </c>
      <c r="E468">
        <v>0.4627</v>
      </c>
      <c r="F468">
        <v>6</v>
      </c>
      <c r="G468">
        <v>53</v>
      </c>
      <c r="H468">
        <v>59</v>
      </c>
    </row>
    <row r="469" spans="1:8" x14ac:dyDescent="0.3">
      <c r="A469">
        <v>467</v>
      </c>
      <c r="B469">
        <v>468</v>
      </c>
      <c r="C469">
        <v>0.18179999999999999</v>
      </c>
      <c r="D469">
        <v>0.27</v>
      </c>
      <c r="E469">
        <v>0.58209999999999995</v>
      </c>
      <c r="F469">
        <v>11</v>
      </c>
      <c r="G469">
        <v>67</v>
      </c>
      <c r="H469">
        <v>78</v>
      </c>
    </row>
    <row r="470" spans="1:8" x14ac:dyDescent="0.3">
      <c r="A470">
        <v>468</v>
      </c>
      <c r="B470">
        <v>469</v>
      </c>
      <c r="C470">
        <v>0.1515</v>
      </c>
      <c r="D470">
        <v>0.21</v>
      </c>
      <c r="E470">
        <v>0.58209999999999995</v>
      </c>
      <c r="F470">
        <v>8</v>
      </c>
      <c r="G470">
        <v>65</v>
      </c>
      <c r="H470">
        <v>73</v>
      </c>
    </row>
    <row r="471" spans="1:8" x14ac:dyDescent="0.3">
      <c r="A471">
        <v>469</v>
      </c>
      <c r="B471">
        <v>470</v>
      </c>
      <c r="C471">
        <v>0.1515</v>
      </c>
      <c r="D471">
        <v>0.25</v>
      </c>
      <c r="E471">
        <v>0.52239999999999998</v>
      </c>
      <c r="F471">
        <v>6</v>
      </c>
      <c r="G471">
        <v>56</v>
      </c>
      <c r="H471">
        <v>62</v>
      </c>
    </row>
    <row r="472" spans="1:8" x14ac:dyDescent="0.3">
      <c r="A472">
        <v>470</v>
      </c>
      <c r="B472">
        <v>471</v>
      </c>
      <c r="C472">
        <v>0.1212</v>
      </c>
      <c r="D472">
        <v>0.26</v>
      </c>
      <c r="E472">
        <v>0.44779999999999998</v>
      </c>
      <c r="F472">
        <v>4</v>
      </c>
      <c r="G472">
        <v>61</v>
      </c>
      <c r="H472">
        <v>65</v>
      </c>
    </row>
    <row r="473" spans="1:8" x14ac:dyDescent="0.3">
      <c r="A473">
        <v>471</v>
      </c>
      <c r="B473">
        <v>472</v>
      </c>
      <c r="C473">
        <v>0.13639999999999999</v>
      </c>
      <c r="D473">
        <v>0.26</v>
      </c>
      <c r="E473">
        <v>0.35820000000000002</v>
      </c>
      <c r="F473">
        <v>0</v>
      </c>
      <c r="G473">
        <v>97</v>
      </c>
      <c r="H473">
        <v>97</v>
      </c>
    </row>
    <row r="474" spans="1:8" x14ac:dyDescent="0.3">
      <c r="A474">
        <v>472</v>
      </c>
      <c r="B474">
        <v>473</v>
      </c>
      <c r="C474">
        <v>0.1212</v>
      </c>
      <c r="D474">
        <v>0.28000000000000003</v>
      </c>
      <c r="E474">
        <v>0.35820000000000002</v>
      </c>
      <c r="F474">
        <v>10</v>
      </c>
      <c r="G474">
        <v>151</v>
      </c>
      <c r="H474">
        <v>161</v>
      </c>
    </row>
    <row r="475" spans="1:8" x14ac:dyDescent="0.3">
      <c r="A475">
        <v>473</v>
      </c>
      <c r="B475">
        <v>474</v>
      </c>
      <c r="C475">
        <v>0.1212</v>
      </c>
      <c r="D475">
        <v>0.3</v>
      </c>
      <c r="E475">
        <v>0.25369999999999998</v>
      </c>
      <c r="F475">
        <v>1</v>
      </c>
      <c r="G475">
        <v>119</v>
      </c>
      <c r="H475">
        <v>120</v>
      </c>
    </row>
    <row r="476" spans="1:8" x14ac:dyDescent="0.3">
      <c r="A476">
        <v>474</v>
      </c>
      <c r="B476">
        <v>475</v>
      </c>
      <c r="C476">
        <v>0.1061</v>
      </c>
      <c r="D476">
        <v>0.3</v>
      </c>
      <c r="E476">
        <v>0.32840000000000003</v>
      </c>
      <c r="F476">
        <v>3</v>
      </c>
      <c r="G476">
        <v>93</v>
      </c>
      <c r="H476">
        <v>96</v>
      </c>
    </row>
    <row r="477" spans="1:8" x14ac:dyDescent="0.3">
      <c r="A477">
        <v>475</v>
      </c>
      <c r="B477">
        <v>476</v>
      </c>
      <c r="C477">
        <v>7.5800000000000006E-2</v>
      </c>
      <c r="D477">
        <v>0.33</v>
      </c>
      <c r="E477">
        <v>0.41789999999999999</v>
      </c>
      <c r="F477">
        <v>1</v>
      </c>
      <c r="G477">
        <v>52</v>
      </c>
      <c r="H477">
        <v>53</v>
      </c>
    </row>
    <row r="478" spans="1:8" x14ac:dyDescent="0.3">
      <c r="A478">
        <v>476</v>
      </c>
      <c r="B478">
        <v>477</v>
      </c>
      <c r="C478">
        <v>7.5800000000000006E-2</v>
      </c>
      <c r="D478">
        <v>0.38</v>
      </c>
      <c r="E478">
        <v>0.28360000000000002</v>
      </c>
      <c r="F478">
        <v>0</v>
      </c>
      <c r="G478">
        <v>41</v>
      </c>
      <c r="H478">
        <v>41</v>
      </c>
    </row>
    <row r="479" spans="1:8" x14ac:dyDescent="0.3">
      <c r="A479">
        <v>477</v>
      </c>
      <c r="B479">
        <v>478</v>
      </c>
      <c r="C479">
        <v>3.0300000000000001E-2</v>
      </c>
      <c r="D479">
        <v>0.41</v>
      </c>
      <c r="E479">
        <v>0.3881</v>
      </c>
      <c r="F479">
        <v>1</v>
      </c>
      <c r="G479">
        <v>33</v>
      </c>
      <c r="H479">
        <v>34</v>
      </c>
    </row>
    <row r="480" spans="1:8" x14ac:dyDescent="0.3">
      <c r="A480">
        <v>478</v>
      </c>
      <c r="B480">
        <v>479</v>
      </c>
      <c r="C480">
        <v>4.5499999999999999E-2</v>
      </c>
      <c r="D480">
        <v>0.38</v>
      </c>
      <c r="E480">
        <v>0.32840000000000003</v>
      </c>
      <c r="F480">
        <v>0</v>
      </c>
      <c r="G480">
        <v>27</v>
      </c>
      <c r="H480">
        <v>27</v>
      </c>
    </row>
    <row r="481" spans="1:8" x14ac:dyDescent="0.3">
      <c r="A481">
        <v>479</v>
      </c>
      <c r="B481">
        <v>480</v>
      </c>
      <c r="C481">
        <v>3.0300000000000001E-2</v>
      </c>
      <c r="D481">
        <v>0.45</v>
      </c>
      <c r="E481">
        <v>0.25369999999999998</v>
      </c>
      <c r="F481">
        <v>0</v>
      </c>
      <c r="G481">
        <v>13</v>
      </c>
      <c r="H481">
        <v>13</v>
      </c>
    </row>
    <row r="482" spans="1:8" x14ac:dyDescent="0.3">
      <c r="A482">
        <v>480</v>
      </c>
      <c r="B482">
        <v>481</v>
      </c>
      <c r="C482">
        <v>0</v>
      </c>
      <c r="D482">
        <v>0.41</v>
      </c>
      <c r="E482">
        <v>0.3881</v>
      </c>
      <c r="F482">
        <v>3</v>
      </c>
      <c r="G482">
        <v>9</v>
      </c>
      <c r="H482">
        <v>12</v>
      </c>
    </row>
    <row r="483" spans="1:8" x14ac:dyDescent="0.3">
      <c r="A483">
        <v>481</v>
      </c>
      <c r="B483">
        <v>482</v>
      </c>
      <c r="C483">
        <v>3.0300000000000001E-2</v>
      </c>
      <c r="D483">
        <v>0.41</v>
      </c>
      <c r="E483">
        <v>0.25369999999999998</v>
      </c>
      <c r="F483">
        <v>0</v>
      </c>
      <c r="G483">
        <v>11</v>
      </c>
      <c r="H483">
        <v>11</v>
      </c>
    </row>
    <row r="484" spans="1:8" x14ac:dyDescent="0.3">
      <c r="A484">
        <v>482</v>
      </c>
      <c r="B484">
        <v>483</v>
      </c>
      <c r="C484">
        <v>3.0300000000000001E-2</v>
      </c>
      <c r="D484">
        <v>0.41</v>
      </c>
      <c r="E484">
        <v>0.28360000000000002</v>
      </c>
      <c r="F484">
        <v>1</v>
      </c>
      <c r="G484">
        <v>6</v>
      </c>
      <c r="H484">
        <v>7</v>
      </c>
    </row>
    <row r="485" spans="1:8" x14ac:dyDescent="0.3">
      <c r="A485">
        <v>483</v>
      </c>
      <c r="B485">
        <v>484</v>
      </c>
      <c r="C485">
        <v>1.52E-2</v>
      </c>
      <c r="D485">
        <v>0.48</v>
      </c>
      <c r="E485">
        <v>0.29849999999999999</v>
      </c>
      <c r="F485">
        <v>0</v>
      </c>
      <c r="G485">
        <v>3</v>
      </c>
      <c r="H485">
        <v>3</v>
      </c>
    </row>
    <row r="486" spans="1:8" x14ac:dyDescent="0.3">
      <c r="A486">
        <v>484</v>
      </c>
      <c r="B486">
        <v>485</v>
      </c>
      <c r="C486">
        <v>3.0300000000000001E-2</v>
      </c>
      <c r="D486">
        <v>0.44</v>
      </c>
      <c r="E486">
        <v>0.22389999999999999</v>
      </c>
      <c r="F486">
        <v>0</v>
      </c>
      <c r="G486">
        <v>2</v>
      </c>
      <c r="H486">
        <v>2</v>
      </c>
    </row>
    <row r="487" spans="1:8" x14ac:dyDescent="0.3">
      <c r="A487">
        <v>485</v>
      </c>
      <c r="B487">
        <v>486</v>
      </c>
      <c r="C487">
        <v>1.52E-2</v>
      </c>
      <c r="D487">
        <v>0.44</v>
      </c>
      <c r="E487">
        <v>0.28360000000000002</v>
      </c>
      <c r="F487">
        <v>0</v>
      </c>
      <c r="G487">
        <v>8</v>
      </c>
      <c r="H487">
        <v>8</v>
      </c>
    </row>
    <row r="488" spans="1:8" x14ac:dyDescent="0.3">
      <c r="A488">
        <v>486</v>
      </c>
      <c r="B488">
        <v>487</v>
      </c>
      <c r="C488">
        <v>0</v>
      </c>
      <c r="D488">
        <v>0.44</v>
      </c>
      <c r="E488">
        <v>0.32840000000000003</v>
      </c>
      <c r="F488">
        <v>1</v>
      </c>
      <c r="G488">
        <v>26</v>
      </c>
      <c r="H488">
        <v>27</v>
      </c>
    </row>
    <row r="489" spans="1:8" x14ac:dyDescent="0.3">
      <c r="A489">
        <v>487</v>
      </c>
      <c r="B489">
        <v>488</v>
      </c>
      <c r="C489">
        <v>3.0300000000000001E-2</v>
      </c>
      <c r="D489">
        <v>0.41</v>
      </c>
      <c r="E489">
        <v>0.25369999999999998</v>
      </c>
      <c r="F489">
        <v>3</v>
      </c>
      <c r="G489">
        <v>37</v>
      </c>
      <c r="H489">
        <v>40</v>
      </c>
    </row>
    <row r="490" spans="1:8" x14ac:dyDescent="0.3">
      <c r="A490">
        <v>488</v>
      </c>
      <c r="B490">
        <v>489</v>
      </c>
      <c r="C490">
        <v>6.0600000000000001E-2</v>
      </c>
      <c r="D490">
        <v>0.41</v>
      </c>
      <c r="E490">
        <v>0.16420000000000001</v>
      </c>
      <c r="F490">
        <v>3</v>
      </c>
      <c r="G490">
        <v>50</v>
      </c>
      <c r="H490">
        <v>53</v>
      </c>
    </row>
    <row r="491" spans="1:8" x14ac:dyDescent="0.3">
      <c r="A491">
        <v>489</v>
      </c>
      <c r="B491">
        <v>490</v>
      </c>
      <c r="C491">
        <v>7.5800000000000006E-2</v>
      </c>
      <c r="D491">
        <v>0.38</v>
      </c>
      <c r="E491">
        <v>0.1343</v>
      </c>
      <c r="F491">
        <v>4</v>
      </c>
      <c r="G491">
        <v>59</v>
      </c>
      <c r="H491">
        <v>63</v>
      </c>
    </row>
    <row r="492" spans="1:8" x14ac:dyDescent="0.3">
      <c r="A492">
        <v>490</v>
      </c>
      <c r="B492">
        <v>491</v>
      </c>
      <c r="C492">
        <v>0.1061</v>
      </c>
      <c r="D492">
        <v>0.38</v>
      </c>
      <c r="E492">
        <v>0.1045</v>
      </c>
      <c r="F492">
        <v>10</v>
      </c>
      <c r="G492">
        <v>60</v>
      </c>
      <c r="H492">
        <v>70</v>
      </c>
    </row>
    <row r="493" spans="1:8" x14ac:dyDescent="0.3">
      <c r="A493">
        <v>491</v>
      </c>
      <c r="B493">
        <v>492</v>
      </c>
      <c r="C493">
        <v>0.16669999999999999</v>
      </c>
      <c r="D493">
        <v>0.35</v>
      </c>
      <c r="E493">
        <v>0</v>
      </c>
      <c r="F493">
        <v>12</v>
      </c>
      <c r="G493">
        <v>72</v>
      </c>
      <c r="H493">
        <v>84</v>
      </c>
    </row>
    <row r="494" spans="1:8" x14ac:dyDescent="0.3">
      <c r="A494">
        <v>492</v>
      </c>
      <c r="B494">
        <v>493</v>
      </c>
      <c r="C494">
        <v>0.13639999999999999</v>
      </c>
      <c r="D494">
        <v>0.33</v>
      </c>
      <c r="E494">
        <v>0.1045</v>
      </c>
      <c r="F494">
        <v>11</v>
      </c>
      <c r="G494">
        <v>64</v>
      </c>
      <c r="H494">
        <v>75</v>
      </c>
    </row>
    <row r="495" spans="1:8" x14ac:dyDescent="0.3">
      <c r="A495">
        <v>493</v>
      </c>
      <c r="B495">
        <v>494</v>
      </c>
      <c r="C495">
        <v>0.1515</v>
      </c>
      <c r="D495">
        <v>0.28000000000000003</v>
      </c>
      <c r="E495">
        <v>0</v>
      </c>
      <c r="F495">
        <v>10</v>
      </c>
      <c r="G495">
        <v>93</v>
      </c>
      <c r="H495">
        <v>103</v>
      </c>
    </row>
    <row r="496" spans="1:8" x14ac:dyDescent="0.3">
      <c r="A496">
        <v>494</v>
      </c>
      <c r="B496">
        <v>495</v>
      </c>
      <c r="C496">
        <v>0.13639999999999999</v>
      </c>
      <c r="D496">
        <v>0.28000000000000003</v>
      </c>
      <c r="E496">
        <v>0.19400000000000001</v>
      </c>
      <c r="F496">
        <v>11</v>
      </c>
      <c r="G496">
        <v>72</v>
      </c>
      <c r="H496">
        <v>83</v>
      </c>
    </row>
    <row r="497" spans="1:8" x14ac:dyDescent="0.3">
      <c r="A497">
        <v>495</v>
      </c>
      <c r="B497">
        <v>496</v>
      </c>
      <c r="C497">
        <v>0.19700000000000001</v>
      </c>
      <c r="D497">
        <v>0.28000000000000003</v>
      </c>
      <c r="E497">
        <v>0</v>
      </c>
      <c r="F497">
        <v>8</v>
      </c>
      <c r="G497">
        <v>59</v>
      </c>
      <c r="H497">
        <v>67</v>
      </c>
    </row>
    <row r="498" spans="1:8" x14ac:dyDescent="0.3">
      <c r="A498">
        <v>496</v>
      </c>
      <c r="B498">
        <v>497</v>
      </c>
      <c r="C498">
        <v>9.0899999999999995E-2</v>
      </c>
      <c r="D498">
        <v>0.35</v>
      </c>
      <c r="E498">
        <v>0.19400000000000001</v>
      </c>
      <c r="F498">
        <v>0</v>
      </c>
      <c r="G498">
        <v>54</v>
      </c>
      <c r="H498">
        <v>54</v>
      </c>
    </row>
    <row r="499" spans="1:8" x14ac:dyDescent="0.3">
      <c r="A499">
        <v>497</v>
      </c>
      <c r="B499">
        <v>498</v>
      </c>
      <c r="C499">
        <v>0.1061</v>
      </c>
      <c r="D499">
        <v>0.35</v>
      </c>
      <c r="E499">
        <v>0.1343</v>
      </c>
      <c r="F499">
        <v>6</v>
      </c>
      <c r="G499">
        <v>53</v>
      </c>
      <c r="H499">
        <v>59</v>
      </c>
    </row>
    <row r="500" spans="1:8" x14ac:dyDescent="0.3">
      <c r="A500">
        <v>498</v>
      </c>
      <c r="B500">
        <v>499</v>
      </c>
      <c r="C500">
        <v>7.5800000000000006E-2</v>
      </c>
      <c r="D500">
        <v>0.45</v>
      </c>
      <c r="E500">
        <v>0.16420000000000001</v>
      </c>
      <c r="F500">
        <v>1</v>
      </c>
      <c r="G500">
        <v>44</v>
      </c>
      <c r="H500">
        <v>45</v>
      </c>
    </row>
    <row r="501" spans="1:8" x14ac:dyDescent="0.3">
      <c r="A501">
        <v>499</v>
      </c>
      <c r="B501">
        <v>500</v>
      </c>
      <c r="C501">
        <v>0.1061</v>
      </c>
      <c r="D501">
        <v>0.41</v>
      </c>
      <c r="E501">
        <v>8.9599999999999999E-2</v>
      </c>
      <c r="F501">
        <v>0</v>
      </c>
      <c r="G501">
        <v>39</v>
      </c>
      <c r="H501">
        <v>39</v>
      </c>
    </row>
    <row r="502" spans="1:8" x14ac:dyDescent="0.3">
      <c r="A502">
        <v>500</v>
      </c>
      <c r="B502">
        <v>501</v>
      </c>
      <c r="C502">
        <v>0.1515</v>
      </c>
      <c r="D502">
        <v>0.49</v>
      </c>
      <c r="E502">
        <v>0</v>
      </c>
      <c r="F502">
        <v>7</v>
      </c>
      <c r="G502">
        <v>23</v>
      </c>
      <c r="H502">
        <v>30</v>
      </c>
    </row>
    <row r="503" spans="1:8" x14ac:dyDescent="0.3">
      <c r="A503">
        <v>501</v>
      </c>
      <c r="B503">
        <v>502</v>
      </c>
      <c r="C503">
        <v>7.5800000000000006E-2</v>
      </c>
      <c r="D503">
        <v>0.56999999999999995</v>
      </c>
      <c r="E503">
        <v>0.1045</v>
      </c>
      <c r="F503">
        <v>2</v>
      </c>
      <c r="G503">
        <v>31</v>
      </c>
      <c r="H503">
        <v>33</v>
      </c>
    </row>
    <row r="504" spans="1:8" x14ac:dyDescent="0.3">
      <c r="A504">
        <v>502</v>
      </c>
      <c r="B504">
        <v>503</v>
      </c>
      <c r="C504">
        <v>7.5800000000000006E-2</v>
      </c>
      <c r="D504">
        <v>0.56999999999999995</v>
      </c>
      <c r="E504">
        <v>0.1045</v>
      </c>
      <c r="F504">
        <v>2</v>
      </c>
      <c r="G504">
        <v>20</v>
      </c>
      <c r="H504">
        <v>22</v>
      </c>
    </row>
    <row r="505" spans="1:8" x14ac:dyDescent="0.3">
      <c r="A505">
        <v>503</v>
      </c>
      <c r="B505">
        <v>504</v>
      </c>
      <c r="C505">
        <v>7.5800000000000006E-2</v>
      </c>
      <c r="D505">
        <v>0.56999999999999995</v>
      </c>
      <c r="E505">
        <v>0.1045</v>
      </c>
      <c r="F505">
        <v>1</v>
      </c>
      <c r="G505">
        <v>12</v>
      </c>
      <c r="H505">
        <v>13</v>
      </c>
    </row>
    <row r="506" spans="1:8" x14ac:dyDescent="0.3">
      <c r="A506">
        <v>504</v>
      </c>
      <c r="B506">
        <v>505</v>
      </c>
      <c r="C506">
        <v>6.0600000000000001E-2</v>
      </c>
      <c r="D506">
        <v>0.62</v>
      </c>
      <c r="E506">
        <v>0.1343</v>
      </c>
      <c r="F506">
        <v>3</v>
      </c>
      <c r="G506">
        <v>15</v>
      </c>
      <c r="H506">
        <v>18</v>
      </c>
    </row>
    <row r="507" spans="1:8" x14ac:dyDescent="0.3">
      <c r="A507">
        <v>505</v>
      </c>
      <c r="B507">
        <v>506</v>
      </c>
      <c r="C507">
        <v>6.0600000000000001E-2</v>
      </c>
      <c r="D507">
        <v>0.62</v>
      </c>
      <c r="E507">
        <v>0.1343</v>
      </c>
      <c r="F507">
        <v>1</v>
      </c>
      <c r="G507">
        <v>4</v>
      </c>
      <c r="H507">
        <v>5</v>
      </c>
    </row>
    <row r="508" spans="1:8" x14ac:dyDescent="0.3">
      <c r="A508">
        <v>506</v>
      </c>
      <c r="B508">
        <v>507</v>
      </c>
      <c r="C508">
        <v>7.5800000000000006E-2</v>
      </c>
      <c r="D508">
        <v>0.56999999999999995</v>
      </c>
      <c r="E508">
        <v>0.1045</v>
      </c>
      <c r="F508">
        <v>0</v>
      </c>
      <c r="G508">
        <v>3</v>
      </c>
      <c r="H508">
        <v>3</v>
      </c>
    </row>
    <row r="509" spans="1:8" x14ac:dyDescent="0.3">
      <c r="A509">
        <v>507</v>
      </c>
      <c r="B509">
        <v>508</v>
      </c>
      <c r="C509">
        <v>7.5800000000000006E-2</v>
      </c>
      <c r="D509">
        <v>0.56999999999999995</v>
      </c>
      <c r="E509">
        <v>0.1045</v>
      </c>
      <c r="F509">
        <v>0</v>
      </c>
      <c r="G509">
        <v>1</v>
      </c>
      <c r="H509">
        <v>1</v>
      </c>
    </row>
    <row r="510" spans="1:8" x14ac:dyDescent="0.3">
      <c r="A510">
        <v>508</v>
      </c>
      <c r="B510">
        <v>509</v>
      </c>
      <c r="C510">
        <v>0.1061</v>
      </c>
      <c r="D510">
        <v>0.57999999999999996</v>
      </c>
      <c r="E510">
        <v>0.16420000000000001</v>
      </c>
      <c r="F510">
        <v>1</v>
      </c>
      <c r="G510">
        <v>1</v>
      </c>
      <c r="H510">
        <v>2</v>
      </c>
    </row>
    <row r="511" spans="1:8" x14ac:dyDescent="0.3">
      <c r="A511">
        <v>509</v>
      </c>
      <c r="B511">
        <v>510</v>
      </c>
      <c r="C511">
        <v>7.5800000000000006E-2</v>
      </c>
      <c r="D511">
        <v>0.62</v>
      </c>
      <c r="E511">
        <v>0.16420000000000001</v>
      </c>
      <c r="F511">
        <v>2</v>
      </c>
      <c r="G511">
        <v>17</v>
      </c>
      <c r="H511">
        <v>19</v>
      </c>
    </row>
    <row r="512" spans="1:8" x14ac:dyDescent="0.3">
      <c r="A512">
        <v>510</v>
      </c>
      <c r="B512">
        <v>511</v>
      </c>
      <c r="C512">
        <v>7.5800000000000006E-2</v>
      </c>
      <c r="D512">
        <v>0.54</v>
      </c>
      <c r="E512">
        <v>0.35820000000000002</v>
      </c>
      <c r="F512">
        <v>3</v>
      </c>
      <c r="G512">
        <v>25</v>
      </c>
      <c r="H512">
        <v>28</v>
      </c>
    </row>
    <row r="513" spans="1:8" x14ac:dyDescent="0.3">
      <c r="A513">
        <v>511</v>
      </c>
      <c r="B513">
        <v>512</v>
      </c>
      <c r="C513">
        <v>0.1061</v>
      </c>
      <c r="D513">
        <v>0.46</v>
      </c>
      <c r="E513">
        <v>0.3881</v>
      </c>
      <c r="F513">
        <v>7</v>
      </c>
      <c r="G513">
        <v>51</v>
      </c>
      <c r="H513">
        <v>58</v>
      </c>
    </row>
    <row r="514" spans="1:8" x14ac:dyDescent="0.3">
      <c r="A514">
        <v>512</v>
      </c>
      <c r="B514">
        <v>513</v>
      </c>
      <c r="C514">
        <v>0.13639999999999999</v>
      </c>
      <c r="D514">
        <v>0.43</v>
      </c>
      <c r="E514">
        <v>0.22389999999999999</v>
      </c>
      <c r="F514">
        <v>22</v>
      </c>
      <c r="G514">
        <v>77</v>
      </c>
      <c r="H514">
        <v>99</v>
      </c>
    </row>
    <row r="515" spans="1:8" x14ac:dyDescent="0.3">
      <c r="A515">
        <v>513</v>
      </c>
      <c r="B515">
        <v>514</v>
      </c>
      <c r="C515">
        <v>0.1212</v>
      </c>
      <c r="D515">
        <v>0.37</v>
      </c>
      <c r="E515">
        <v>0.4627</v>
      </c>
      <c r="F515">
        <v>24</v>
      </c>
      <c r="G515">
        <v>92</v>
      </c>
      <c r="H515">
        <v>116</v>
      </c>
    </row>
    <row r="516" spans="1:8" x14ac:dyDescent="0.3">
      <c r="A516">
        <v>514</v>
      </c>
      <c r="B516">
        <v>515</v>
      </c>
      <c r="C516">
        <v>0.1061</v>
      </c>
      <c r="D516">
        <v>0.33</v>
      </c>
      <c r="E516">
        <v>0.3881</v>
      </c>
      <c r="F516">
        <v>12</v>
      </c>
      <c r="G516">
        <v>75</v>
      </c>
      <c r="H516">
        <v>87</v>
      </c>
    </row>
    <row r="517" spans="1:8" x14ac:dyDescent="0.3">
      <c r="A517">
        <v>515</v>
      </c>
      <c r="B517">
        <v>516</v>
      </c>
      <c r="C517">
        <v>0.13639999999999999</v>
      </c>
      <c r="D517">
        <v>0.28000000000000003</v>
      </c>
      <c r="E517">
        <v>0.35820000000000002</v>
      </c>
      <c r="F517">
        <v>17</v>
      </c>
      <c r="G517">
        <v>93</v>
      </c>
      <c r="H517">
        <v>110</v>
      </c>
    </row>
    <row r="518" spans="1:8" x14ac:dyDescent="0.3">
      <c r="A518">
        <v>516</v>
      </c>
      <c r="B518">
        <v>517</v>
      </c>
      <c r="C518">
        <v>0.13639999999999999</v>
      </c>
      <c r="D518">
        <v>0.28000000000000003</v>
      </c>
      <c r="E518">
        <v>0.35820000000000002</v>
      </c>
      <c r="F518">
        <v>13</v>
      </c>
      <c r="G518">
        <v>64</v>
      </c>
      <c r="H518">
        <v>77</v>
      </c>
    </row>
    <row r="519" spans="1:8" x14ac:dyDescent="0.3">
      <c r="A519">
        <v>517</v>
      </c>
      <c r="B519">
        <v>518</v>
      </c>
      <c r="C519">
        <v>0.13639999999999999</v>
      </c>
      <c r="D519">
        <v>0.26</v>
      </c>
      <c r="E519">
        <v>0.32840000000000003</v>
      </c>
      <c r="F519">
        <v>9</v>
      </c>
      <c r="G519">
        <v>56</v>
      </c>
      <c r="H519">
        <v>65</v>
      </c>
    </row>
    <row r="520" spans="1:8" x14ac:dyDescent="0.3">
      <c r="A520">
        <v>518</v>
      </c>
      <c r="B520">
        <v>519</v>
      </c>
      <c r="C520">
        <v>0.1061</v>
      </c>
      <c r="D520">
        <v>0.26</v>
      </c>
      <c r="E520">
        <v>0.3881</v>
      </c>
      <c r="F520">
        <v>5</v>
      </c>
      <c r="G520">
        <v>50</v>
      </c>
      <c r="H520">
        <v>55</v>
      </c>
    </row>
    <row r="521" spans="1:8" x14ac:dyDescent="0.3">
      <c r="A521">
        <v>519</v>
      </c>
      <c r="B521">
        <v>520</v>
      </c>
      <c r="C521">
        <v>0.1212</v>
      </c>
      <c r="D521">
        <v>0.3</v>
      </c>
      <c r="E521">
        <v>0.25369999999999998</v>
      </c>
      <c r="F521">
        <v>5</v>
      </c>
      <c r="G521">
        <v>44</v>
      </c>
      <c r="H521">
        <v>49</v>
      </c>
    </row>
    <row r="522" spans="1:8" x14ac:dyDescent="0.3">
      <c r="A522">
        <v>520</v>
      </c>
      <c r="B522">
        <v>521</v>
      </c>
      <c r="C522">
        <v>0.1212</v>
      </c>
      <c r="D522">
        <v>0.3</v>
      </c>
      <c r="E522">
        <v>0.28360000000000002</v>
      </c>
      <c r="F522">
        <v>5</v>
      </c>
      <c r="G522">
        <v>45</v>
      </c>
      <c r="H522">
        <v>50</v>
      </c>
    </row>
    <row r="523" spans="1:8" x14ac:dyDescent="0.3">
      <c r="A523">
        <v>521</v>
      </c>
      <c r="B523">
        <v>522</v>
      </c>
      <c r="C523">
        <v>0.1061</v>
      </c>
      <c r="D523">
        <v>0.36</v>
      </c>
      <c r="E523">
        <v>0.25369999999999998</v>
      </c>
      <c r="F523">
        <v>4</v>
      </c>
      <c r="G523">
        <v>31</v>
      </c>
      <c r="H523">
        <v>35</v>
      </c>
    </row>
    <row r="524" spans="1:8" x14ac:dyDescent="0.3">
      <c r="A524">
        <v>522</v>
      </c>
      <c r="B524">
        <v>523</v>
      </c>
      <c r="C524">
        <v>0.1061</v>
      </c>
      <c r="D524">
        <v>0.36</v>
      </c>
      <c r="E524">
        <v>0.19400000000000001</v>
      </c>
      <c r="F524">
        <v>5</v>
      </c>
      <c r="G524">
        <v>20</v>
      </c>
      <c r="H524">
        <v>25</v>
      </c>
    </row>
    <row r="525" spans="1:8" x14ac:dyDescent="0.3">
      <c r="A525">
        <v>523</v>
      </c>
      <c r="B525">
        <v>524</v>
      </c>
      <c r="C525">
        <v>9.0899999999999995E-2</v>
      </c>
      <c r="D525">
        <v>0.38</v>
      </c>
      <c r="E525">
        <v>0.19400000000000001</v>
      </c>
      <c r="F525">
        <v>5</v>
      </c>
      <c r="G525">
        <v>23</v>
      </c>
      <c r="H525">
        <v>28</v>
      </c>
    </row>
    <row r="526" spans="1:8" x14ac:dyDescent="0.3">
      <c r="A526">
        <v>524</v>
      </c>
      <c r="B526">
        <v>525</v>
      </c>
      <c r="C526">
        <v>6.0600000000000001E-2</v>
      </c>
      <c r="D526">
        <v>0.41</v>
      </c>
      <c r="E526">
        <v>0.22389999999999999</v>
      </c>
      <c r="F526">
        <v>4</v>
      </c>
      <c r="G526">
        <v>17</v>
      </c>
      <c r="H526">
        <v>21</v>
      </c>
    </row>
    <row r="527" spans="1:8" x14ac:dyDescent="0.3">
      <c r="A527">
        <v>525</v>
      </c>
      <c r="B527">
        <v>526</v>
      </c>
      <c r="C527">
        <v>6.0600000000000001E-2</v>
      </c>
      <c r="D527">
        <v>0.41</v>
      </c>
      <c r="E527">
        <v>0.19400000000000001</v>
      </c>
      <c r="F527">
        <v>0</v>
      </c>
      <c r="G527">
        <v>7</v>
      </c>
      <c r="H527">
        <v>7</v>
      </c>
    </row>
    <row r="528" spans="1:8" x14ac:dyDescent="0.3">
      <c r="A528">
        <v>526</v>
      </c>
      <c r="B528">
        <v>527</v>
      </c>
      <c r="C528">
        <v>4.5499999999999999E-2</v>
      </c>
      <c r="D528">
        <v>0.45</v>
      </c>
      <c r="E528">
        <v>0.19400000000000001</v>
      </c>
      <c r="F528">
        <v>0</v>
      </c>
      <c r="G528">
        <v>1</v>
      </c>
      <c r="H528">
        <v>1</v>
      </c>
    </row>
    <row r="529" spans="1:8" x14ac:dyDescent="0.3">
      <c r="A529">
        <v>527</v>
      </c>
      <c r="B529">
        <v>528</v>
      </c>
      <c r="C529">
        <v>3.0300000000000001E-2</v>
      </c>
      <c r="D529">
        <v>0.45</v>
      </c>
      <c r="E529">
        <v>0.25369999999999998</v>
      </c>
      <c r="F529">
        <v>0</v>
      </c>
      <c r="G529">
        <v>1</v>
      </c>
      <c r="H529">
        <v>1</v>
      </c>
    </row>
    <row r="530" spans="1:8" x14ac:dyDescent="0.3">
      <c r="A530">
        <v>528</v>
      </c>
      <c r="B530">
        <v>529</v>
      </c>
      <c r="C530">
        <v>6.0600000000000001E-2</v>
      </c>
      <c r="D530">
        <v>0.48</v>
      </c>
      <c r="E530">
        <v>0.1343</v>
      </c>
      <c r="F530">
        <v>0</v>
      </c>
      <c r="G530">
        <v>1</v>
      </c>
      <c r="H530">
        <v>1</v>
      </c>
    </row>
    <row r="531" spans="1:8" x14ac:dyDescent="0.3">
      <c r="A531">
        <v>529</v>
      </c>
      <c r="B531">
        <v>530</v>
      </c>
      <c r="C531">
        <v>6.0600000000000001E-2</v>
      </c>
      <c r="D531">
        <v>0.48</v>
      </c>
      <c r="E531">
        <v>0.1343</v>
      </c>
      <c r="F531">
        <v>0</v>
      </c>
      <c r="G531">
        <v>5</v>
      </c>
      <c r="H531">
        <v>5</v>
      </c>
    </row>
    <row r="532" spans="1:8" x14ac:dyDescent="0.3">
      <c r="A532">
        <v>530</v>
      </c>
      <c r="B532">
        <v>531</v>
      </c>
      <c r="C532">
        <v>7.5800000000000006E-2</v>
      </c>
      <c r="D532">
        <v>0.48</v>
      </c>
      <c r="E532">
        <v>8.9599999999999999E-2</v>
      </c>
      <c r="F532">
        <v>0</v>
      </c>
      <c r="G532">
        <v>15</v>
      </c>
      <c r="H532">
        <v>15</v>
      </c>
    </row>
    <row r="533" spans="1:8" x14ac:dyDescent="0.3">
      <c r="A533">
        <v>531</v>
      </c>
      <c r="B533">
        <v>532</v>
      </c>
      <c r="C533">
        <v>0.1212</v>
      </c>
      <c r="D533">
        <v>0.48</v>
      </c>
      <c r="E533">
        <v>0</v>
      </c>
      <c r="F533">
        <v>5</v>
      </c>
      <c r="G533">
        <v>79</v>
      </c>
      <c r="H533">
        <v>84</v>
      </c>
    </row>
    <row r="534" spans="1:8" x14ac:dyDescent="0.3">
      <c r="A534">
        <v>532</v>
      </c>
      <c r="B534">
        <v>533</v>
      </c>
      <c r="C534">
        <v>0.13639999999999999</v>
      </c>
      <c r="D534">
        <v>0.49</v>
      </c>
      <c r="E534">
        <v>0</v>
      </c>
      <c r="F534">
        <v>6</v>
      </c>
      <c r="G534">
        <v>171</v>
      </c>
      <c r="H534">
        <v>177</v>
      </c>
    </row>
    <row r="535" spans="1:8" x14ac:dyDescent="0.3">
      <c r="A535">
        <v>533</v>
      </c>
      <c r="B535">
        <v>534</v>
      </c>
      <c r="C535">
        <v>0.1515</v>
      </c>
      <c r="D535">
        <v>0.41</v>
      </c>
      <c r="E535">
        <v>0</v>
      </c>
      <c r="F535">
        <v>4</v>
      </c>
      <c r="G535">
        <v>98</v>
      </c>
      <c r="H535">
        <v>102</v>
      </c>
    </row>
    <row r="536" spans="1:8" x14ac:dyDescent="0.3">
      <c r="A536">
        <v>534</v>
      </c>
      <c r="B536">
        <v>535</v>
      </c>
      <c r="C536">
        <v>0.13639999999999999</v>
      </c>
      <c r="D536">
        <v>0.42</v>
      </c>
      <c r="E536">
        <v>0</v>
      </c>
      <c r="F536">
        <v>6</v>
      </c>
      <c r="G536">
        <v>34</v>
      </c>
      <c r="H536">
        <v>40</v>
      </c>
    </row>
    <row r="537" spans="1:8" x14ac:dyDescent="0.3">
      <c r="A537">
        <v>535</v>
      </c>
      <c r="B537">
        <v>536</v>
      </c>
      <c r="C537">
        <v>0.1212</v>
      </c>
      <c r="D537">
        <v>0.46</v>
      </c>
      <c r="E537">
        <v>0.1343</v>
      </c>
      <c r="F537">
        <v>3</v>
      </c>
      <c r="G537">
        <v>43</v>
      </c>
      <c r="H537">
        <v>46</v>
      </c>
    </row>
    <row r="538" spans="1:8" x14ac:dyDescent="0.3">
      <c r="A538">
        <v>536</v>
      </c>
      <c r="B538">
        <v>537</v>
      </c>
      <c r="C538">
        <v>0.13639999999999999</v>
      </c>
      <c r="D538">
        <v>0.42</v>
      </c>
      <c r="E538">
        <v>0.19400000000000001</v>
      </c>
      <c r="F538">
        <v>11</v>
      </c>
      <c r="G538">
        <v>52</v>
      </c>
      <c r="H538">
        <v>63</v>
      </c>
    </row>
    <row r="539" spans="1:8" x14ac:dyDescent="0.3">
      <c r="A539">
        <v>537</v>
      </c>
      <c r="B539">
        <v>538</v>
      </c>
      <c r="C539">
        <v>0.13639999999999999</v>
      </c>
      <c r="D539">
        <v>0.43</v>
      </c>
      <c r="E539">
        <v>0.22389999999999999</v>
      </c>
      <c r="F539">
        <v>6</v>
      </c>
      <c r="G539">
        <v>54</v>
      </c>
      <c r="H539">
        <v>60</v>
      </c>
    </row>
    <row r="540" spans="1:8" x14ac:dyDescent="0.3">
      <c r="A540">
        <v>538</v>
      </c>
      <c r="B540">
        <v>539</v>
      </c>
      <c r="C540">
        <v>0.13639999999999999</v>
      </c>
      <c r="D540">
        <v>0.46</v>
      </c>
      <c r="E540">
        <v>0.22389999999999999</v>
      </c>
      <c r="F540">
        <v>2</v>
      </c>
      <c r="G540">
        <v>43</v>
      </c>
      <c r="H540">
        <v>45</v>
      </c>
    </row>
    <row r="541" spans="1:8" x14ac:dyDescent="0.3">
      <c r="A541">
        <v>539</v>
      </c>
      <c r="B541">
        <v>540</v>
      </c>
      <c r="C541">
        <v>0.16669999999999999</v>
      </c>
      <c r="D541">
        <v>0.4</v>
      </c>
      <c r="E541">
        <v>0.16420000000000001</v>
      </c>
      <c r="F541">
        <v>7</v>
      </c>
      <c r="G541">
        <v>50</v>
      </c>
      <c r="H541">
        <v>57</v>
      </c>
    </row>
    <row r="542" spans="1:8" x14ac:dyDescent="0.3">
      <c r="A542">
        <v>540</v>
      </c>
      <c r="B542">
        <v>541</v>
      </c>
      <c r="C542">
        <v>0.1515</v>
      </c>
      <c r="D542">
        <v>0.47</v>
      </c>
      <c r="E542">
        <v>0.25369999999999998</v>
      </c>
      <c r="F542">
        <v>4</v>
      </c>
      <c r="G542">
        <v>66</v>
      </c>
      <c r="H542">
        <v>70</v>
      </c>
    </row>
    <row r="543" spans="1:8" x14ac:dyDescent="0.3">
      <c r="A543">
        <v>541</v>
      </c>
      <c r="B543">
        <v>542</v>
      </c>
      <c r="C543">
        <v>0.1212</v>
      </c>
      <c r="D543">
        <v>0.5</v>
      </c>
      <c r="E543">
        <v>0.25369999999999998</v>
      </c>
      <c r="F543">
        <v>6</v>
      </c>
      <c r="G543">
        <v>178</v>
      </c>
      <c r="H543">
        <v>184</v>
      </c>
    </row>
    <row r="544" spans="1:8" x14ac:dyDescent="0.3">
      <c r="A544">
        <v>542</v>
      </c>
      <c r="B544">
        <v>543</v>
      </c>
      <c r="C544">
        <v>0.13639999999999999</v>
      </c>
      <c r="D544">
        <v>0.59</v>
      </c>
      <c r="E544">
        <v>0.19400000000000001</v>
      </c>
      <c r="F544">
        <v>8</v>
      </c>
      <c r="G544">
        <v>145</v>
      </c>
      <c r="H544">
        <v>153</v>
      </c>
    </row>
    <row r="545" spans="1:8" x14ac:dyDescent="0.3">
      <c r="A545">
        <v>543</v>
      </c>
      <c r="B545">
        <v>544</v>
      </c>
      <c r="C545">
        <v>0.1515</v>
      </c>
      <c r="D545">
        <v>0.54</v>
      </c>
      <c r="E545">
        <v>0.16420000000000001</v>
      </c>
      <c r="F545">
        <v>5</v>
      </c>
      <c r="G545">
        <v>101</v>
      </c>
      <c r="H545">
        <v>106</v>
      </c>
    </row>
    <row r="546" spans="1:8" x14ac:dyDescent="0.3">
      <c r="A546">
        <v>544</v>
      </c>
      <c r="B546">
        <v>545</v>
      </c>
      <c r="C546">
        <v>0.13639999999999999</v>
      </c>
      <c r="D546">
        <v>0.59</v>
      </c>
      <c r="E546">
        <v>0.19400000000000001</v>
      </c>
      <c r="F546">
        <v>1</v>
      </c>
      <c r="G546">
        <v>80</v>
      </c>
      <c r="H546">
        <v>81</v>
      </c>
    </row>
    <row r="547" spans="1:8" x14ac:dyDescent="0.3">
      <c r="A547">
        <v>545</v>
      </c>
      <c r="B547">
        <v>546</v>
      </c>
      <c r="C547">
        <v>0.1515</v>
      </c>
      <c r="D547">
        <v>0.63</v>
      </c>
      <c r="E547">
        <v>0.16420000000000001</v>
      </c>
      <c r="F547">
        <v>6</v>
      </c>
      <c r="G547">
        <v>53</v>
      </c>
      <c r="H547">
        <v>59</v>
      </c>
    </row>
    <row r="548" spans="1:8" x14ac:dyDescent="0.3">
      <c r="A548">
        <v>546</v>
      </c>
      <c r="B548">
        <v>547</v>
      </c>
      <c r="C548">
        <v>0.13639999999999999</v>
      </c>
      <c r="D548">
        <v>0.63</v>
      </c>
      <c r="E548">
        <v>0.22389999999999999</v>
      </c>
      <c r="F548">
        <v>3</v>
      </c>
      <c r="G548">
        <v>32</v>
      </c>
      <c r="H548">
        <v>35</v>
      </c>
    </row>
    <row r="549" spans="1:8" x14ac:dyDescent="0.3">
      <c r="A549">
        <v>547</v>
      </c>
      <c r="B549">
        <v>548</v>
      </c>
      <c r="C549">
        <v>0.1515</v>
      </c>
      <c r="D549">
        <v>0.64</v>
      </c>
      <c r="E549">
        <v>0.25369999999999998</v>
      </c>
      <c r="F549">
        <v>3</v>
      </c>
      <c r="G549">
        <v>21</v>
      </c>
      <c r="H549">
        <v>24</v>
      </c>
    </row>
    <row r="550" spans="1:8" x14ac:dyDescent="0.3">
      <c r="A550">
        <v>548</v>
      </c>
      <c r="B550">
        <v>549</v>
      </c>
      <c r="C550">
        <v>0.13639999999999999</v>
      </c>
      <c r="D550">
        <v>0.69</v>
      </c>
      <c r="E550">
        <v>0.28360000000000002</v>
      </c>
      <c r="F550">
        <v>3</v>
      </c>
      <c r="G550">
        <v>6</v>
      </c>
      <c r="H550">
        <v>9</v>
      </c>
    </row>
    <row r="551" spans="1:8" x14ac:dyDescent="0.3">
      <c r="A551">
        <v>549</v>
      </c>
      <c r="B551">
        <v>550</v>
      </c>
      <c r="C551">
        <v>0.16669999999999999</v>
      </c>
      <c r="D551">
        <v>0.69</v>
      </c>
      <c r="E551">
        <v>0.16420000000000001</v>
      </c>
      <c r="F551">
        <v>0</v>
      </c>
      <c r="G551">
        <v>5</v>
      </c>
      <c r="H551">
        <v>5</v>
      </c>
    </row>
    <row r="552" spans="1:8" x14ac:dyDescent="0.3">
      <c r="A552">
        <v>550</v>
      </c>
      <c r="B552">
        <v>551</v>
      </c>
      <c r="C552">
        <v>0.1515</v>
      </c>
      <c r="D552">
        <v>0.69</v>
      </c>
      <c r="E552">
        <v>0.22389999999999999</v>
      </c>
      <c r="F552">
        <v>0</v>
      </c>
      <c r="G552">
        <v>2</v>
      </c>
      <c r="H552">
        <v>2</v>
      </c>
    </row>
    <row r="553" spans="1:8" x14ac:dyDescent="0.3">
      <c r="A553">
        <v>551</v>
      </c>
      <c r="B553">
        <v>552</v>
      </c>
      <c r="C553">
        <v>0.16669999999999999</v>
      </c>
      <c r="D553">
        <v>0.74</v>
      </c>
      <c r="E553">
        <v>0.1045</v>
      </c>
      <c r="F553">
        <v>0</v>
      </c>
      <c r="G553">
        <v>1</v>
      </c>
      <c r="H553">
        <v>1</v>
      </c>
    </row>
    <row r="554" spans="1:8" x14ac:dyDescent="0.3">
      <c r="A554">
        <v>552</v>
      </c>
      <c r="B554">
        <v>553</v>
      </c>
      <c r="C554">
        <v>0.13639999999999999</v>
      </c>
      <c r="D554">
        <v>0.74</v>
      </c>
      <c r="E554">
        <v>0.22389999999999999</v>
      </c>
      <c r="F554">
        <v>0</v>
      </c>
      <c r="G554">
        <v>9</v>
      </c>
      <c r="H554">
        <v>9</v>
      </c>
    </row>
    <row r="555" spans="1:8" x14ac:dyDescent="0.3">
      <c r="A555">
        <v>553</v>
      </c>
      <c r="B555">
        <v>554</v>
      </c>
      <c r="C555">
        <v>0.18179999999999999</v>
      </c>
      <c r="D555">
        <v>0.74</v>
      </c>
      <c r="E555">
        <v>0.1045</v>
      </c>
      <c r="F555">
        <v>1</v>
      </c>
      <c r="G555">
        <v>35</v>
      </c>
      <c r="H555">
        <v>36</v>
      </c>
    </row>
    <row r="556" spans="1:8" x14ac:dyDescent="0.3">
      <c r="A556">
        <v>554</v>
      </c>
      <c r="B556">
        <v>555</v>
      </c>
      <c r="C556">
        <v>0.1515</v>
      </c>
      <c r="D556">
        <v>0.74</v>
      </c>
      <c r="E556">
        <v>0.22389999999999999</v>
      </c>
      <c r="F556">
        <v>5</v>
      </c>
      <c r="G556">
        <v>103</v>
      </c>
      <c r="H556">
        <v>108</v>
      </c>
    </row>
    <row r="557" spans="1:8" x14ac:dyDescent="0.3">
      <c r="A557">
        <v>555</v>
      </c>
      <c r="B557">
        <v>556</v>
      </c>
      <c r="C557">
        <v>0.18179999999999999</v>
      </c>
      <c r="D557">
        <v>0.74</v>
      </c>
      <c r="E557">
        <v>0.1343</v>
      </c>
      <c r="F557">
        <v>5</v>
      </c>
      <c r="G557">
        <v>233</v>
      </c>
      <c r="H557">
        <v>238</v>
      </c>
    </row>
    <row r="558" spans="1:8" x14ac:dyDescent="0.3">
      <c r="A558">
        <v>556</v>
      </c>
      <c r="B558">
        <v>557</v>
      </c>
      <c r="C558">
        <v>0.2273</v>
      </c>
      <c r="D558">
        <v>0.64</v>
      </c>
      <c r="E558">
        <v>8.9599999999999999E-2</v>
      </c>
      <c r="F558">
        <v>10</v>
      </c>
      <c r="G558">
        <v>134</v>
      </c>
      <c r="H558">
        <v>144</v>
      </c>
    </row>
    <row r="559" spans="1:8" x14ac:dyDescent="0.3">
      <c r="A559">
        <v>557</v>
      </c>
      <c r="B559">
        <v>558</v>
      </c>
      <c r="C559">
        <v>0.2424</v>
      </c>
      <c r="D559">
        <v>0.6</v>
      </c>
      <c r="E559">
        <v>0.1045</v>
      </c>
      <c r="F559">
        <v>6</v>
      </c>
      <c r="G559">
        <v>49</v>
      </c>
      <c r="H559">
        <v>55</v>
      </c>
    </row>
    <row r="560" spans="1:8" x14ac:dyDescent="0.3">
      <c r="A560">
        <v>558</v>
      </c>
      <c r="B560">
        <v>559</v>
      </c>
      <c r="C560">
        <v>0.2424</v>
      </c>
      <c r="D560">
        <v>0.6</v>
      </c>
      <c r="E560">
        <v>0.1343</v>
      </c>
      <c r="F560">
        <v>6</v>
      </c>
      <c r="G560">
        <v>55</v>
      </c>
      <c r="H560">
        <v>61</v>
      </c>
    </row>
    <row r="561" spans="1:8" x14ac:dyDescent="0.3">
      <c r="A561">
        <v>559</v>
      </c>
      <c r="B561">
        <v>560</v>
      </c>
      <c r="C561">
        <v>0.28789999999999999</v>
      </c>
      <c r="D561">
        <v>0.56000000000000005</v>
      </c>
      <c r="E561">
        <v>8.9599999999999999E-2</v>
      </c>
      <c r="F561">
        <v>21</v>
      </c>
      <c r="G561">
        <v>85</v>
      </c>
      <c r="H561">
        <v>106</v>
      </c>
    </row>
    <row r="562" spans="1:8" x14ac:dyDescent="0.3">
      <c r="A562">
        <v>560</v>
      </c>
      <c r="B562">
        <v>561</v>
      </c>
      <c r="C562">
        <v>0.2727</v>
      </c>
      <c r="D562">
        <v>0.56000000000000005</v>
      </c>
      <c r="E562">
        <v>0.1343</v>
      </c>
      <c r="F562">
        <v>21</v>
      </c>
      <c r="G562">
        <v>72</v>
      </c>
      <c r="H562">
        <v>93</v>
      </c>
    </row>
    <row r="563" spans="1:8" x14ac:dyDescent="0.3">
      <c r="A563">
        <v>561</v>
      </c>
      <c r="B563">
        <v>562</v>
      </c>
      <c r="C563">
        <v>0.33329999999999999</v>
      </c>
      <c r="D563">
        <v>0.45</v>
      </c>
      <c r="E563">
        <v>0</v>
      </c>
      <c r="F563">
        <v>11</v>
      </c>
      <c r="G563">
        <v>57</v>
      </c>
      <c r="H563">
        <v>68</v>
      </c>
    </row>
    <row r="564" spans="1:8" x14ac:dyDescent="0.3">
      <c r="A564">
        <v>562</v>
      </c>
      <c r="B564">
        <v>563</v>
      </c>
      <c r="C564">
        <v>0.34849999999999998</v>
      </c>
      <c r="D564">
        <v>0.42</v>
      </c>
      <c r="E564">
        <v>0</v>
      </c>
      <c r="F564">
        <v>21</v>
      </c>
      <c r="G564">
        <v>63</v>
      </c>
      <c r="H564">
        <v>84</v>
      </c>
    </row>
    <row r="565" spans="1:8" x14ac:dyDescent="0.3">
      <c r="A565">
        <v>563</v>
      </c>
      <c r="B565">
        <v>564</v>
      </c>
      <c r="C565">
        <v>0.34849999999999998</v>
      </c>
      <c r="D565">
        <v>0.42</v>
      </c>
      <c r="E565">
        <v>0</v>
      </c>
      <c r="F565">
        <v>14</v>
      </c>
      <c r="G565">
        <v>102</v>
      </c>
      <c r="H565">
        <v>116</v>
      </c>
    </row>
    <row r="566" spans="1:8" x14ac:dyDescent="0.3">
      <c r="A566">
        <v>564</v>
      </c>
      <c r="B566">
        <v>565</v>
      </c>
      <c r="C566">
        <v>0.33329999999999999</v>
      </c>
      <c r="D566">
        <v>0.45</v>
      </c>
      <c r="E566">
        <v>0</v>
      </c>
      <c r="F566">
        <v>14</v>
      </c>
      <c r="G566">
        <v>208</v>
      </c>
      <c r="H566">
        <v>222</v>
      </c>
    </row>
    <row r="567" spans="1:8" x14ac:dyDescent="0.3">
      <c r="A567">
        <v>565</v>
      </c>
      <c r="B567">
        <v>566</v>
      </c>
      <c r="C567">
        <v>0.31819999999999998</v>
      </c>
      <c r="D567">
        <v>0.49</v>
      </c>
      <c r="E567">
        <v>8.9599999999999999E-2</v>
      </c>
      <c r="F567">
        <v>7</v>
      </c>
      <c r="G567">
        <v>218</v>
      </c>
      <c r="H567">
        <v>225</v>
      </c>
    </row>
    <row r="568" spans="1:8" x14ac:dyDescent="0.3">
      <c r="A568">
        <v>566</v>
      </c>
      <c r="B568">
        <v>567</v>
      </c>
      <c r="C568">
        <v>0.2576</v>
      </c>
      <c r="D568">
        <v>0.65</v>
      </c>
      <c r="E568">
        <v>0.16420000000000001</v>
      </c>
      <c r="F568">
        <v>13</v>
      </c>
      <c r="G568">
        <v>133</v>
      </c>
      <c r="H568">
        <v>146</v>
      </c>
    </row>
    <row r="569" spans="1:8" x14ac:dyDescent="0.3">
      <c r="A569">
        <v>567</v>
      </c>
      <c r="B569">
        <v>568</v>
      </c>
      <c r="C569">
        <v>0.2273</v>
      </c>
      <c r="D569">
        <v>0.65</v>
      </c>
      <c r="E569">
        <v>0.19400000000000001</v>
      </c>
      <c r="F569">
        <v>16</v>
      </c>
      <c r="G569">
        <v>103</v>
      </c>
      <c r="H569">
        <v>119</v>
      </c>
    </row>
    <row r="570" spans="1:8" x14ac:dyDescent="0.3">
      <c r="A570">
        <v>568</v>
      </c>
      <c r="B570">
        <v>569</v>
      </c>
      <c r="C570">
        <v>0.2273</v>
      </c>
      <c r="D570">
        <v>0.65</v>
      </c>
      <c r="E570">
        <v>0.19400000000000001</v>
      </c>
      <c r="F570">
        <v>5</v>
      </c>
      <c r="G570">
        <v>40</v>
      </c>
      <c r="H570">
        <v>45</v>
      </c>
    </row>
    <row r="571" spans="1:8" x14ac:dyDescent="0.3">
      <c r="A571">
        <v>569</v>
      </c>
      <c r="B571">
        <v>570</v>
      </c>
      <c r="C571">
        <v>0.2273</v>
      </c>
      <c r="D571">
        <v>0.64</v>
      </c>
      <c r="E571">
        <v>0.16420000000000001</v>
      </c>
      <c r="F571">
        <v>4</v>
      </c>
      <c r="G571">
        <v>49</v>
      </c>
      <c r="H571">
        <v>53</v>
      </c>
    </row>
    <row r="572" spans="1:8" x14ac:dyDescent="0.3">
      <c r="A572">
        <v>570</v>
      </c>
      <c r="B572">
        <v>571</v>
      </c>
      <c r="C572">
        <v>0.2273</v>
      </c>
      <c r="D572">
        <v>0.64</v>
      </c>
      <c r="E572">
        <v>0.16420000000000001</v>
      </c>
      <c r="F572">
        <v>3</v>
      </c>
      <c r="G572">
        <v>37</v>
      </c>
      <c r="H572">
        <v>40</v>
      </c>
    </row>
    <row r="573" spans="1:8" x14ac:dyDescent="0.3">
      <c r="A573">
        <v>571</v>
      </c>
      <c r="B573">
        <v>572</v>
      </c>
      <c r="C573">
        <v>0.2273</v>
      </c>
      <c r="D573">
        <v>0.69</v>
      </c>
      <c r="E573">
        <v>0.1343</v>
      </c>
      <c r="F573">
        <v>3</v>
      </c>
      <c r="G573">
        <v>14</v>
      </c>
      <c r="H573">
        <v>17</v>
      </c>
    </row>
    <row r="574" spans="1:8" x14ac:dyDescent="0.3">
      <c r="A574">
        <v>572</v>
      </c>
      <c r="B574">
        <v>573</v>
      </c>
      <c r="C574">
        <v>0.2424</v>
      </c>
      <c r="D574">
        <v>0.65</v>
      </c>
      <c r="E574">
        <v>0.1343</v>
      </c>
      <c r="F574">
        <v>0</v>
      </c>
      <c r="G574">
        <v>5</v>
      </c>
      <c r="H574">
        <v>5</v>
      </c>
    </row>
    <row r="575" spans="1:8" x14ac:dyDescent="0.3">
      <c r="A575">
        <v>573</v>
      </c>
      <c r="B575">
        <v>574</v>
      </c>
      <c r="C575">
        <v>0.2273</v>
      </c>
      <c r="D575">
        <v>0.69</v>
      </c>
      <c r="E575">
        <v>0.19400000000000001</v>
      </c>
      <c r="F575">
        <v>3</v>
      </c>
      <c r="G575">
        <v>7</v>
      </c>
      <c r="H575">
        <v>10</v>
      </c>
    </row>
    <row r="576" spans="1:8" x14ac:dyDescent="0.3">
      <c r="A576">
        <v>574</v>
      </c>
      <c r="B576">
        <v>575</v>
      </c>
      <c r="C576">
        <v>0.18179999999999999</v>
      </c>
      <c r="D576">
        <v>0.86</v>
      </c>
      <c r="E576">
        <v>0.28360000000000002</v>
      </c>
      <c r="F576">
        <v>0</v>
      </c>
      <c r="G576">
        <v>1</v>
      </c>
      <c r="H576">
        <v>1</v>
      </c>
    </row>
    <row r="577" spans="1:8" x14ac:dyDescent="0.3">
      <c r="A577">
        <v>575</v>
      </c>
      <c r="B577">
        <v>576</v>
      </c>
      <c r="C577">
        <v>0.18179999999999999</v>
      </c>
      <c r="D577">
        <v>0.86</v>
      </c>
      <c r="E577">
        <v>0.28360000000000002</v>
      </c>
      <c r="F577">
        <v>0</v>
      </c>
      <c r="G577">
        <v>8</v>
      </c>
      <c r="H577">
        <v>8</v>
      </c>
    </row>
    <row r="578" spans="1:8" x14ac:dyDescent="0.3">
      <c r="A578">
        <v>576</v>
      </c>
      <c r="B578">
        <v>577</v>
      </c>
      <c r="C578">
        <v>0.21210000000000001</v>
      </c>
      <c r="D578">
        <v>0.87</v>
      </c>
      <c r="E578">
        <v>0.29849999999999999</v>
      </c>
      <c r="F578">
        <v>1</v>
      </c>
      <c r="G578">
        <v>29</v>
      </c>
      <c r="H578">
        <v>30</v>
      </c>
    </row>
    <row r="579" spans="1:8" x14ac:dyDescent="0.3">
      <c r="A579">
        <v>577</v>
      </c>
      <c r="B579">
        <v>578</v>
      </c>
      <c r="C579">
        <v>0.21210000000000001</v>
      </c>
      <c r="D579">
        <v>0.87</v>
      </c>
      <c r="E579">
        <v>0.29849999999999999</v>
      </c>
      <c r="F579">
        <v>3</v>
      </c>
      <c r="G579">
        <v>69</v>
      </c>
      <c r="H579">
        <v>72</v>
      </c>
    </row>
    <row r="580" spans="1:8" x14ac:dyDescent="0.3">
      <c r="A580">
        <v>578</v>
      </c>
      <c r="B580">
        <v>579</v>
      </c>
      <c r="C580">
        <v>0.21210000000000001</v>
      </c>
      <c r="D580">
        <v>0.87</v>
      </c>
      <c r="E580">
        <v>0.29849999999999999</v>
      </c>
      <c r="F580">
        <v>3</v>
      </c>
      <c r="G580">
        <v>55</v>
      </c>
      <c r="H580">
        <v>58</v>
      </c>
    </row>
    <row r="581" spans="1:8" x14ac:dyDescent="0.3">
      <c r="A581">
        <v>579</v>
      </c>
      <c r="B581">
        <v>580</v>
      </c>
      <c r="C581">
        <v>0.21210000000000001</v>
      </c>
      <c r="D581">
        <v>0.93</v>
      </c>
      <c r="E581">
        <v>0.28360000000000002</v>
      </c>
      <c r="F581">
        <v>2</v>
      </c>
      <c r="G581">
        <v>26</v>
      </c>
      <c r="H581">
        <v>28</v>
      </c>
    </row>
    <row r="582" spans="1:8" x14ac:dyDescent="0.3">
      <c r="A582">
        <v>580</v>
      </c>
      <c r="B582">
        <v>581</v>
      </c>
      <c r="C582">
        <v>0.19700000000000001</v>
      </c>
      <c r="D582">
        <v>0.93</v>
      </c>
      <c r="E582">
        <v>0.32840000000000003</v>
      </c>
      <c r="F582">
        <v>6</v>
      </c>
      <c r="G582">
        <v>35</v>
      </c>
      <c r="H582">
        <v>41</v>
      </c>
    </row>
    <row r="583" spans="1:8" x14ac:dyDescent="0.3">
      <c r="A583">
        <v>581</v>
      </c>
      <c r="B583">
        <v>582</v>
      </c>
      <c r="C583">
        <v>0.19700000000000001</v>
      </c>
      <c r="D583">
        <v>0.93</v>
      </c>
      <c r="E583">
        <v>0.32840000000000003</v>
      </c>
      <c r="F583">
        <v>7</v>
      </c>
      <c r="G583">
        <v>41</v>
      </c>
      <c r="H583">
        <v>48</v>
      </c>
    </row>
    <row r="584" spans="1:8" x14ac:dyDescent="0.3">
      <c r="A584">
        <v>582</v>
      </c>
      <c r="B584">
        <v>583</v>
      </c>
      <c r="C584">
        <v>0.19700000000000001</v>
      </c>
      <c r="D584">
        <v>0.93</v>
      </c>
      <c r="E584">
        <v>0.32840000000000003</v>
      </c>
      <c r="F584">
        <v>4</v>
      </c>
      <c r="G584">
        <v>43</v>
      </c>
      <c r="H584">
        <v>47</v>
      </c>
    </row>
    <row r="585" spans="1:8" x14ac:dyDescent="0.3">
      <c r="A585">
        <v>583</v>
      </c>
      <c r="B585">
        <v>584</v>
      </c>
      <c r="C585">
        <v>0.19700000000000001</v>
      </c>
      <c r="D585">
        <v>0.93</v>
      </c>
      <c r="E585">
        <v>0.35820000000000002</v>
      </c>
      <c r="F585">
        <v>0</v>
      </c>
      <c r="G585">
        <v>36</v>
      </c>
      <c r="H585">
        <v>36</v>
      </c>
    </row>
    <row r="586" spans="1:8" x14ac:dyDescent="0.3">
      <c r="A586">
        <v>584</v>
      </c>
      <c r="B586">
        <v>585</v>
      </c>
      <c r="C586">
        <v>0.18179999999999999</v>
      </c>
      <c r="D586">
        <v>0.93</v>
      </c>
      <c r="E586">
        <v>0.4627</v>
      </c>
      <c r="F586">
        <v>1</v>
      </c>
      <c r="G586">
        <v>42</v>
      </c>
      <c r="H586">
        <v>43</v>
      </c>
    </row>
    <row r="587" spans="1:8" x14ac:dyDescent="0.3">
      <c r="A587">
        <v>585</v>
      </c>
      <c r="B587">
        <v>586</v>
      </c>
      <c r="C587">
        <v>0.19700000000000001</v>
      </c>
      <c r="D587">
        <v>0.93</v>
      </c>
      <c r="E587">
        <v>0.32840000000000003</v>
      </c>
      <c r="F587">
        <v>1</v>
      </c>
      <c r="G587">
        <v>35</v>
      </c>
      <c r="H587">
        <v>36</v>
      </c>
    </row>
    <row r="588" spans="1:8" x14ac:dyDescent="0.3">
      <c r="A588">
        <v>586</v>
      </c>
      <c r="B588">
        <v>587</v>
      </c>
      <c r="C588">
        <v>0.18179999999999999</v>
      </c>
      <c r="D588">
        <v>0.93</v>
      </c>
      <c r="E588">
        <v>0.35820000000000002</v>
      </c>
      <c r="F588">
        <v>0</v>
      </c>
      <c r="G588">
        <v>26</v>
      </c>
      <c r="H588">
        <v>26</v>
      </c>
    </row>
    <row r="589" spans="1:8" x14ac:dyDescent="0.3">
      <c r="A589">
        <v>587</v>
      </c>
      <c r="B589">
        <v>588</v>
      </c>
      <c r="C589">
        <v>0.2273</v>
      </c>
      <c r="D589">
        <v>0.55000000000000004</v>
      </c>
      <c r="E589">
        <v>0.19400000000000001</v>
      </c>
      <c r="F589">
        <v>1</v>
      </c>
      <c r="G589">
        <v>23</v>
      </c>
      <c r="H589">
        <v>24</v>
      </c>
    </row>
    <row r="590" spans="1:8" x14ac:dyDescent="0.3">
      <c r="A590">
        <v>588</v>
      </c>
      <c r="B590">
        <v>589</v>
      </c>
      <c r="C590">
        <v>0.2424</v>
      </c>
      <c r="D590">
        <v>0.55000000000000004</v>
      </c>
      <c r="E590">
        <v>0.1045</v>
      </c>
      <c r="F590">
        <v>2</v>
      </c>
      <c r="G590">
        <v>82</v>
      </c>
      <c r="H590">
        <v>84</v>
      </c>
    </row>
    <row r="591" spans="1:8" x14ac:dyDescent="0.3">
      <c r="A591">
        <v>589</v>
      </c>
      <c r="B591">
        <v>590</v>
      </c>
      <c r="C591">
        <v>0.2273</v>
      </c>
      <c r="D591">
        <v>0.69</v>
      </c>
      <c r="E591">
        <v>8.9599999999999999E-2</v>
      </c>
      <c r="F591">
        <v>3</v>
      </c>
      <c r="G591">
        <v>101</v>
      </c>
      <c r="H591">
        <v>104</v>
      </c>
    </row>
    <row r="592" spans="1:8" x14ac:dyDescent="0.3">
      <c r="A592">
        <v>590</v>
      </c>
      <c r="B592">
        <v>591</v>
      </c>
      <c r="C592">
        <v>0.2273</v>
      </c>
      <c r="D592">
        <v>0.69</v>
      </c>
      <c r="E592">
        <v>8.9599999999999999E-2</v>
      </c>
      <c r="F592">
        <v>3</v>
      </c>
      <c r="G592">
        <v>76</v>
      </c>
      <c r="H592">
        <v>79</v>
      </c>
    </row>
    <row r="593" spans="1:8" x14ac:dyDescent="0.3">
      <c r="A593">
        <v>591</v>
      </c>
      <c r="B593">
        <v>592</v>
      </c>
      <c r="C593">
        <v>0.21210000000000001</v>
      </c>
      <c r="D593">
        <v>0.74</v>
      </c>
      <c r="E593">
        <v>8.9599999999999999E-2</v>
      </c>
      <c r="F593">
        <v>4</v>
      </c>
      <c r="G593">
        <v>55</v>
      </c>
      <c r="H593">
        <v>59</v>
      </c>
    </row>
    <row r="594" spans="1:8" x14ac:dyDescent="0.3">
      <c r="A594">
        <v>592</v>
      </c>
      <c r="B594">
        <v>593</v>
      </c>
      <c r="C594">
        <v>0.21210000000000001</v>
      </c>
      <c r="D594">
        <v>0.74</v>
      </c>
      <c r="E594">
        <v>8.9599999999999999E-2</v>
      </c>
      <c r="F594">
        <v>2</v>
      </c>
      <c r="G594">
        <v>36</v>
      </c>
      <c r="H594">
        <v>38</v>
      </c>
    </row>
    <row r="595" spans="1:8" x14ac:dyDescent="0.3">
      <c r="A595">
        <v>593</v>
      </c>
      <c r="B595">
        <v>594</v>
      </c>
      <c r="C595">
        <v>0.21210000000000001</v>
      </c>
      <c r="D595">
        <v>0.74</v>
      </c>
      <c r="E595">
        <v>8.9599999999999999E-2</v>
      </c>
      <c r="F595">
        <v>0</v>
      </c>
      <c r="G595">
        <v>27</v>
      </c>
      <c r="H595">
        <v>27</v>
      </c>
    </row>
    <row r="596" spans="1:8" x14ac:dyDescent="0.3">
      <c r="A596">
        <v>594</v>
      </c>
      <c r="B596">
        <v>595</v>
      </c>
      <c r="C596">
        <v>0.19700000000000001</v>
      </c>
      <c r="D596">
        <v>0.8</v>
      </c>
      <c r="E596">
        <v>0.16420000000000001</v>
      </c>
      <c r="F596">
        <v>0</v>
      </c>
      <c r="G596">
        <v>16</v>
      </c>
      <c r="H596">
        <v>16</v>
      </c>
    </row>
    <row r="597" spans="1:8" x14ac:dyDescent="0.3">
      <c r="A597">
        <v>595</v>
      </c>
      <c r="B597">
        <v>596</v>
      </c>
      <c r="C597">
        <v>0.21210000000000001</v>
      </c>
      <c r="D597">
        <v>0.75</v>
      </c>
      <c r="E597">
        <v>0.1343</v>
      </c>
      <c r="F597">
        <v>0</v>
      </c>
      <c r="G597">
        <v>9</v>
      </c>
      <c r="H597">
        <v>9</v>
      </c>
    </row>
    <row r="598" spans="1:8" x14ac:dyDescent="0.3">
      <c r="A598">
        <v>596</v>
      </c>
      <c r="B598">
        <v>597</v>
      </c>
      <c r="C598">
        <v>0.21210000000000001</v>
      </c>
      <c r="D598">
        <v>0.75</v>
      </c>
      <c r="E598">
        <v>0.1343</v>
      </c>
      <c r="F598">
        <v>1</v>
      </c>
      <c r="G598">
        <v>2</v>
      </c>
      <c r="H598">
        <v>3</v>
      </c>
    </row>
    <row r="599" spans="1:8" x14ac:dyDescent="0.3">
      <c r="A599">
        <v>597</v>
      </c>
      <c r="B599">
        <v>598</v>
      </c>
      <c r="C599">
        <v>0.21210000000000001</v>
      </c>
      <c r="D599">
        <v>0.75</v>
      </c>
      <c r="E599">
        <v>0.16420000000000001</v>
      </c>
      <c r="F599">
        <v>0</v>
      </c>
      <c r="G599">
        <v>2</v>
      </c>
      <c r="H599">
        <v>2</v>
      </c>
    </row>
    <row r="600" spans="1:8" x14ac:dyDescent="0.3">
      <c r="A600">
        <v>598</v>
      </c>
      <c r="B600">
        <v>599</v>
      </c>
      <c r="C600">
        <v>0.2273</v>
      </c>
      <c r="D600">
        <v>0.75</v>
      </c>
      <c r="E600">
        <v>0.1045</v>
      </c>
      <c r="F600">
        <v>1</v>
      </c>
      <c r="G600">
        <v>0</v>
      </c>
      <c r="H600">
        <v>1</v>
      </c>
    </row>
    <row r="601" spans="1:8" x14ac:dyDescent="0.3">
      <c r="A601">
        <v>599</v>
      </c>
      <c r="B601">
        <v>600</v>
      </c>
      <c r="C601">
        <v>0.21210000000000001</v>
      </c>
      <c r="D601">
        <v>0.8</v>
      </c>
      <c r="E601">
        <v>0.1045</v>
      </c>
      <c r="F601">
        <v>0</v>
      </c>
      <c r="G601">
        <v>4</v>
      </c>
      <c r="H601">
        <v>4</v>
      </c>
    </row>
    <row r="602" spans="1:8" x14ac:dyDescent="0.3">
      <c r="A602">
        <v>600</v>
      </c>
      <c r="B602">
        <v>601</v>
      </c>
      <c r="C602">
        <v>0.19700000000000001</v>
      </c>
      <c r="D602">
        <v>0.8</v>
      </c>
      <c r="E602">
        <v>0.1343</v>
      </c>
      <c r="F602">
        <v>0</v>
      </c>
      <c r="G602">
        <v>16</v>
      </c>
      <c r="H602">
        <v>16</v>
      </c>
    </row>
    <row r="603" spans="1:8" x14ac:dyDescent="0.3">
      <c r="A603">
        <v>601</v>
      </c>
      <c r="B603">
        <v>602</v>
      </c>
      <c r="C603">
        <v>0.19700000000000001</v>
      </c>
      <c r="D603">
        <v>0.86</v>
      </c>
      <c r="E603">
        <v>8.9599999999999999E-2</v>
      </c>
      <c r="F603">
        <v>2</v>
      </c>
      <c r="G603">
        <v>58</v>
      </c>
      <c r="H603">
        <v>60</v>
      </c>
    </row>
    <row r="604" spans="1:8" x14ac:dyDescent="0.3">
      <c r="A604">
        <v>602</v>
      </c>
      <c r="B604">
        <v>603</v>
      </c>
      <c r="C604">
        <v>0.19700000000000001</v>
      </c>
      <c r="D604">
        <v>0.86</v>
      </c>
      <c r="E604">
        <v>8.9599999999999999E-2</v>
      </c>
      <c r="F604">
        <v>2</v>
      </c>
      <c r="G604">
        <v>155</v>
      </c>
      <c r="H604">
        <v>157</v>
      </c>
    </row>
    <row r="605" spans="1:8" x14ac:dyDescent="0.3">
      <c r="A605">
        <v>603</v>
      </c>
      <c r="B605">
        <v>604</v>
      </c>
      <c r="C605">
        <v>0.21210000000000001</v>
      </c>
      <c r="D605">
        <v>0.86</v>
      </c>
      <c r="E605">
        <v>8.9599999999999999E-2</v>
      </c>
      <c r="F605">
        <v>6</v>
      </c>
      <c r="G605">
        <v>95</v>
      </c>
      <c r="H605">
        <v>101</v>
      </c>
    </row>
    <row r="606" spans="1:8" x14ac:dyDescent="0.3">
      <c r="A606">
        <v>604</v>
      </c>
      <c r="B606">
        <v>605</v>
      </c>
      <c r="C606">
        <v>0.21210000000000001</v>
      </c>
      <c r="D606">
        <v>0.86</v>
      </c>
      <c r="E606">
        <v>0.1045</v>
      </c>
      <c r="F606">
        <v>0</v>
      </c>
      <c r="G606">
        <v>49</v>
      </c>
      <c r="H606">
        <v>49</v>
      </c>
    </row>
    <row r="607" spans="1:8" x14ac:dyDescent="0.3">
      <c r="A607">
        <v>605</v>
      </c>
      <c r="B607">
        <v>606</v>
      </c>
      <c r="C607">
        <v>0.21210000000000001</v>
      </c>
      <c r="D607">
        <v>0.93</v>
      </c>
      <c r="E607">
        <v>0.1045</v>
      </c>
      <c r="F607">
        <v>0</v>
      </c>
      <c r="G607">
        <v>30</v>
      </c>
      <c r="H607">
        <v>30</v>
      </c>
    </row>
    <row r="608" spans="1:8" x14ac:dyDescent="0.3">
      <c r="A608">
        <v>606</v>
      </c>
      <c r="B608">
        <v>607</v>
      </c>
      <c r="C608">
        <v>0.21210000000000001</v>
      </c>
      <c r="D608">
        <v>0.93</v>
      </c>
      <c r="E608">
        <v>0.1045</v>
      </c>
      <c r="F608">
        <v>1</v>
      </c>
      <c r="G608">
        <v>28</v>
      </c>
      <c r="H608">
        <v>29</v>
      </c>
    </row>
    <row r="609" spans="1:8" x14ac:dyDescent="0.3">
      <c r="A609">
        <v>607</v>
      </c>
      <c r="B609">
        <v>608</v>
      </c>
      <c r="C609">
        <v>0.21210000000000001</v>
      </c>
      <c r="D609">
        <v>0.93</v>
      </c>
      <c r="E609">
        <v>0.1045</v>
      </c>
      <c r="F609">
        <v>0</v>
      </c>
      <c r="G609">
        <v>31</v>
      </c>
      <c r="H609">
        <v>31</v>
      </c>
    </row>
    <row r="610" spans="1:8" x14ac:dyDescent="0.3">
      <c r="A610">
        <v>608</v>
      </c>
      <c r="B610">
        <v>609</v>
      </c>
      <c r="C610">
        <v>0.2727</v>
      </c>
      <c r="D610">
        <v>0.8</v>
      </c>
      <c r="E610">
        <v>0</v>
      </c>
      <c r="F610">
        <v>2</v>
      </c>
      <c r="G610">
        <v>36</v>
      </c>
      <c r="H610">
        <v>38</v>
      </c>
    </row>
    <row r="611" spans="1:8" x14ac:dyDescent="0.3">
      <c r="A611">
        <v>609</v>
      </c>
      <c r="B611">
        <v>610</v>
      </c>
      <c r="C611">
        <v>0.2576</v>
      </c>
      <c r="D611">
        <v>0.86</v>
      </c>
      <c r="E611">
        <v>0</v>
      </c>
      <c r="F611">
        <v>1</v>
      </c>
      <c r="G611">
        <v>40</v>
      </c>
      <c r="H611">
        <v>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0B13A-0B5B-4A45-8E66-37D5A72FCD09}">
  <dimension ref="A1:J611"/>
  <sheetViews>
    <sheetView workbookViewId="0"/>
  </sheetViews>
  <sheetFormatPr defaultRowHeight="14.4" x14ac:dyDescent="0.3"/>
  <cols>
    <col min="1" max="1" width="9" bestFit="1" customWidth="1"/>
    <col min="2" max="2" width="10.33203125" bestFit="1" customWidth="1"/>
    <col min="3" max="3" width="9" bestFit="1" customWidth="1"/>
    <col min="4" max="4" width="4.88671875" bestFit="1" customWidth="1"/>
    <col min="5" max="5" width="7.77734375" bestFit="1" customWidth="1"/>
    <col min="6" max="6" width="5" bestFit="1" customWidth="1"/>
    <col min="7" max="7" width="9.44140625" bestFit="1" customWidth="1"/>
    <col min="8" max="8" width="10.77734375" bestFit="1" customWidth="1"/>
    <col min="9" max="9" width="12" bestFit="1" customWidth="1"/>
    <col min="10" max="10" width="7.6640625" bestFit="1" customWidth="1"/>
  </cols>
  <sheetData>
    <row r="1" spans="1:10" x14ac:dyDescent="0.3">
      <c r="A1" t="s">
        <v>0</v>
      </c>
      <c r="B1" t="s">
        <v>1</v>
      </c>
      <c r="C1" t="s">
        <v>2</v>
      </c>
      <c r="D1" t="s">
        <v>3</v>
      </c>
      <c r="E1" t="s">
        <v>4</v>
      </c>
      <c r="F1" t="s">
        <v>5</v>
      </c>
      <c r="G1" t="s">
        <v>6</v>
      </c>
      <c r="H1" t="s">
        <v>7</v>
      </c>
      <c r="I1" t="s">
        <v>8</v>
      </c>
      <c r="J1" t="s">
        <v>9</v>
      </c>
    </row>
    <row r="2" spans="1:10" x14ac:dyDescent="0.3">
      <c r="A2">
        <v>1</v>
      </c>
      <c r="B2" s="1">
        <v>40544</v>
      </c>
      <c r="C2">
        <v>1</v>
      </c>
      <c r="D2">
        <v>0</v>
      </c>
      <c r="E2">
        <v>1</v>
      </c>
      <c r="F2">
        <v>0</v>
      </c>
      <c r="G2" t="b">
        <v>0</v>
      </c>
      <c r="H2">
        <v>6</v>
      </c>
      <c r="I2">
        <v>1</v>
      </c>
      <c r="J2">
        <v>0.24</v>
      </c>
    </row>
    <row r="3" spans="1:10" x14ac:dyDescent="0.3">
      <c r="A3">
        <v>2</v>
      </c>
      <c r="B3" s="1">
        <v>40544</v>
      </c>
      <c r="C3">
        <v>1</v>
      </c>
      <c r="D3">
        <v>0</v>
      </c>
      <c r="E3">
        <v>1</v>
      </c>
      <c r="F3">
        <v>1</v>
      </c>
      <c r="G3" t="b">
        <v>0</v>
      </c>
      <c r="H3">
        <v>6</v>
      </c>
      <c r="I3">
        <v>1</v>
      </c>
      <c r="J3">
        <v>0.22</v>
      </c>
    </row>
    <row r="4" spans="1:10" x14ac:dyDescent="0.3">
      <c r="A4">
        <v>3</v>
      </c>
      <c r="B4" s="1">
        <v>40544</v>
      </c>
      <c r="C4">
        <v>1</v>
      </c>
      <c r="D4">
        <v>0</v>
      </c>
      <c r="E4">
        <v>1</v>
      </c>
      <c r="F4">
        <v>2</v>
      </c>
      <c r="G4" t="b">
        <v>0</v>
      </c>
      <c r="H4">
        <v>6</v>
      </c>
      <c r="I4">
        <v>1</v>
      </c>
      <c r="J4">
        <v>0.22</v>
      </c>
    </row>
    <row r="5" spans="1:10" x14ac:dyDescent="0.3">
      <c r="A5">
        <v>4</v>
      </c>
      <c r="B5" s="1">
        <v>40544</v>
      </c>
      <c r="C5">
        <v>1</v>
      </c>
      <c r="D5">
        <v>0</v>
      </c>
      <c r="E5">
        <v>1</v>
      </c>
      <c r="F5">
        <v>3</v>
      </c>
      <c r="G5" t="b">
        <v>0</v>
      </c>
      <c r="H5">
        <v>6</v>
      </c>
      <c r="I5">
        <v>1</v>
      </c>
      <c r="J5">
        <v>0.24</v>
      </c>
    </row>
    <row r="6" spans="1:10" x14ac:dyDescent="0.3">
      <c r="A6">
        <v>5</v>
      </c>
      <c r="B6" s="1">
        <v>40544</v>
      </c>
      <c r="C6">
        <v>1</v>
      </c>
      <c r="D6">
        <v>0</v>
      </c>
      <c r="E6">
        <v>1</v>
      </c>
      <c r="F6">
        <v>4</v>
      </c>
      <c r="G6" t="b">
        <v>0</v>
      </c>
      <c r="H6">
        <v>6</v>
      </c>
      <c r="I6">
        <v>1</v>
      </c>
      <c r="J6">
        <v>0.24</v>
      </c>
    </row>
    <row r="7" spans="1:10" x14ac:dyDescent="0.3">
      <c r="A7">
        <v>6</v>
      </c>
      <c r="B7" s="1">
        <v>40544</v>
      </c>
      <c r="C7">
        <v>1</v>
      </c>
      <c r="D7">
        <v>0</v>
      </c>
      <c r="E7">
        <v>1</v>
      </c>
      <c r="F7">
        <v>5</v>
      </c>
      <c r="G7" t="b">
        <v>0</v>
      </c>
      <c r="H7">
        <v>6</v>
      </c>
      <c r="I7">
        <v>2</v>
      </c>
      <c r="J7">
        <v>0.24</v>
      </c>
    </row>
    <row r="8" spans="1:10" x14ac:dyDescent="0.3">
      <c r="A8">
        <v>7</v>
      </c>
      <c r="B8" s="1">
        <v>40544</v>
      </c>
      <c r="C8">
        <v>1</v>
      </c>
      <c r="D8">
        <v>0</v>
      </c>
      <c r="E8">
        <v>1</v>
      </c>
      <c r="F8">
        <v>6</v>
      </c>
      <c r="G8" t="b">
        <v>0</v>
      </c>
      <c r="H8">
        <v>6</v>
      </c>
      <c r="I8">
        <v>1</v>
      </c>
      <c r="J8">
        <v>0.22</v>
      </c>
    </row>
    <row r="9" spans="1:10" x14ac:dyDescent="0.3">
      <c r="A9">
        <v>8</v>
      </c>
      <c r="B9" s="1">
        <v>40544</v>
      </c>
      <c r="C9">
        <v>1</v>
      </c>
      <c r="D9">
        <v>0</v>
      </c>
      <c r="E9">
        <v>1</v>
      </c>
      <c r="F9">
        <v>7</v>
      </c>
      <c r="G9" t="b">
        <v>0</v>
      </c>
      <c r="H9">
        <v>6</v>
      </c>
      <c r="I9">
        <v>1</v>
      </c>
      <c r="J9">
        <v>0.2</v>
      </c>
    </row>
    <row r="10" spans="1:10" x14ac:dyDescent="0.3">
      <c r="A10">
        <v>9</v>
      </c>
      <c r="B10" s="1">
        <v>40544</v>
      </c>
      <c r="C10">
        <v>1</v>
      </c>
      <c r="D10">
        <v>0</v>
      </c>
      <c r="E10">
        <v>1</v>
      </c>
      <c r="F10">
        <v>8</v>
      </c>
      <c r="G10" t="b">
        <v>0</v>
      </c>
      <c r="H10">
        <v>6</v>
      </c>
      <c r="I10">
        <v>1</v>
      </c>
      <c r="J10">
        <v>0.24</v>
      </c>
    </row>
    <row r="11" spans="1:10" x14ac:dyDescent="0.3">
      <c r="A11">
        <v>10</v>
      </c>
      <c r="B11" s="1">
        <v>40544</v>
      </c>
      <c r="C11">
        <v>1</v>
      </c>
      <c r="D11">
        <v>0</v>
      </c>
      <c r="E11">
        <v>1</v>
      </c>
      <c r="F11">
        <v>9</v>
      </c>
      <c r="G11" t="b">
        <v>0</v>
      </c>
      <c r="H11">
        <v>6</v>
      </c>
      <c r="I11">
        <v>1</v>
      </c>
      <c r="J11">
        <v>0.32</v>
      </c>
    </row>
    <row r="12" spans="1:10" x14ac:dyDescent="0.3">
      <c r="A12">
        <v>11</v>
      </c>
      <c r="B12" s="1">
        <v>40544</v>
      </c>
      <c r="C12">
        <v>1</v>
      </c>
      <c r="D12">
        <v>0</v>
      </c>
      <c r="E12">
        <v>1</v>
      </c>
      <c r="F12">
        <v>10</v>
      </c>
      <c r="G12" t="b">
        <v>0</v>
      </c>
      <c r="H12">
        <v>6</v>
      </c>
      <c r="I12">
        <v>1</v>
      </c>
      <c r="J12">
        <v>0.38</v>
      </c>
    </row>
    <row r="13" spans="1:10" x14ac:dyDescent="0.3">
      <c r="A13">
        <v>12</v>
      </c>
      <c r="B13" s="1">
        <v>40544</v>
      </c>
      <c r="C13">
        <v>1</v>
      </c>
      <c r="D13">
        <v>0</v>
      </c>
      <c r="E13">
        <v>1</v>
      </c>
      <c r="F13">
        <v>11</v>
      </c>
      <c r="G13" t="b">
        <v>0</v>
      </c>
      <c r="H13">
        <v>6</v>
      </c>
      <c r="I13">
        <v>1</v>
      </c>
      <c r="J13">
        <v>0.36</v>
      </c>
    </row>
    <row r="14" spans="1:10" x14ac:dyDescent="0.3">
      <c r="A14">
        <v>13</v>
      </c>
      <c r="B14" s="1">
        <v>40544</v>
      </c>
      <c r="C14">
        <v>1</v>
      </c>
      <c r="D14">
        <v>0</v>
      </c>
      <c r="E14">
        <v>1</v>
      </c>
      <c r="F14">
        <v>12</v>
      </c>
      <c r="G14" t="b">
        <v>0</v>
      </c>
      <c r="H14">
        <v>6</v>
      </c>
      <c r="I14">
        <v>1</v>
      </c>
      <c r="J14">
        <v>0.42</v>
      </c>
    </row>
    <row r="15" spans="1:10" x14ac:dyDescent="0.3">
      <c r="A15">
        <v>14</v>
      </c>
      <c r="B15" s="1">
        <v>40544</v>
      </c>
      <c r="C15">
        <v>1</v>
      </c>
      <c r="D15">
        <v>0</v>
      </c>
      <c r="E15">
        <v>1</v>
      </c>
      <c r="F15">
        <v>13</v>
      </c>
      <c r="G15" t="b">
        <v>0</v>
      </c>
      <c r="H15">
        <v>6</v>
      </c>
      <c r="I15">
        <v>2</v>
      </c>
      <c r="J15">
        <v>0.46</v>
      </c>
    </row>
    <row r="16" spans="1:10" x14ac:dyDescent="0.3">
      <c r="A16">
        <v>15</v>
      </c>
      <c r="B16" s="1">
        <v>40544</v>
      </c>
      <c r="C16">
        <v>1</v>
      </c>
      <c r="D16">
        <v>0</v>
      </c>
      <c r="E16">
        <v>1</v>
      </c>
      <c r="F16">
        <v>14</v>
      </c>
      <c r="G16" t="b">
        <v>0</v>
      </c>
      <c r="H16">
        <v>6</v>
      </c>
      <c r="I16">
        <v>2</v>
      </c>
      <c r="J16">
        <v>0.46</v>
      </c>
    </row>
    <row r="17" spans="1:10" x14ac:dyDescent="0.3">
      <c r="A17">
        <v>16</v>
      </c>
      <c r="B17" s="1">
        <v>40544</v>
      </c>
      <c r="C17">
        <v>1</v>
      </c>
      <c r="D17">
        <v>0</v>
      </c>
      <c r="E17">
        <v>1</v>
      </c>
      <c r="F17">
        <v>15</v>
      </c>
      <c r="G17" t="b">
        <v>0</v>
      </c>
      <c r="H17">
        <v>6</v>
      </c>
      <c r="I17">
        <v>2</v>
      </c>
      <c r="J17">
        <v>0.44</v>
      </c>
    </row>
    <row r="18" spans="1:10" x14ac:dyDescent="0.3">
      <c r="A18">
        <v>17</v>
      </c>
      <c r="B18" s="1">
        <v>40544</v>
      </c>
      <c r="C18">
        <v>1</v>
      </c>
      <c r="D18">
        <v>0</v>
      </c>
      <c r="E18">
        <v>1</v>
      </c>
      <c r="F18">
        <v>16</v>
      </c>
      <c r="G18" t="b">
        <v>0</v>
      </c>
      <c r="H18">
        <v>6</v>
      </c>
      <c r="I18">
        <v>2</v>
      </c>
      <c r="J18">
        <v>0.42</v>
      </c>
    </row>
    <row r="19" spans="1:10" x14ac:dyDescent="0.3">
      <c r="A19">
        <v>18</v>
      </c>
      <c r="B19" s="1">
        <v>40544</v>
      </c>
      <c r="C19">
        <v>1</v>
      </c>
      <c r="D19">
        <v>0</v>
      </c>
      <c r="E19">
        <v>1</v>
      </c>
      <c r="F19">
        <v>17</v>
      </c>
      <c r="G19" t="b">
        <v>0</v>
      </c>
      <c r="H19">
        <v>6</v>
      </c>
      <c r="I19">
        <v>2</v>
      </c>
      <c r="J19">
        <v>0.44</v>
      </c>
    </row>
    <row r="20" spans="1:10" x14ac:dyDescent="0.3">
      <c r="A20">
        <v>19</v>
      </c>
      <c r="B20" s="1">
        <v>40544</v>
      </c>
      <c r="C20">
        <v>1</v>
      </c>
      <c r="D20">
        <v>0</v>
      </c>
      <c r="E20">
        <v>1</v>
      </c>
      <c r="F20">
        <v>18</v>
      </c>
      <c r="G20" t="b">
        <v>0</v>
      </c>
      <c r="H20">
        <v>6</v>
      </c>
      <c r="I20">
        <v>3</v>
      </c>
      <c r="J20">
        <v>0.42</v>
      </c>
    </row>
    <row r="21" spans="1:10" x14ac:dyDescent="0.3">
      <c r="A21">
        <v>20</v>
      </c>
      <c r="B21" s="1">
        <v>40544</v>
      </c>
      <c r="C21">
        <v>1</v>
      </c>
      <c r="D21">
        <v>0</v>
      </c>
      <c r="E21">
        <v>1</v>
      </c>
      <c r="F21">
        <v>19</v>
      </c>
      <c r="G21" t="b">
        <v>0</v>
      </c>
      <c r="H21">
        <v>6</v>
      </c>
      <c r="I21">
        <v>3</v>
      </c>
      <c r="J21">
        <v>0.42</v>
      </c>
    </row>
    <row r="22" spans="1:10" x14ac:dyDescent="0.3">
      <c r="A22">
        <v>21</v>
      </c>
      <c r="B22" s="1">
        <v>40544</v>
      </c>
      <c r="C22">
        <v>1</v>
      </c>
      <c r="D22">
        <v>0</v>
      </c>
      <c r="E22">
        <v>1</v>
      </c>
      <c r="F22">
        <v>20</v>
      </c>
      <c r="G22" t="b">
        <v>0</v>
      </c>
      <c r="H22">
        <v>6</v>
      </c>
      <c r="I22">
        <v>2</v>
      </c>
      <c r="J22">
        <v>0.4</v>
      </c>
    </row>
    <row r="23" spans="1:10" x14ac:dyDescent="0.3">
      <c r="A23">
        <v>22</v>
      </c>
      <c r="B23" s="1">
        <v>40544</v>
      </c>
      <c r="C23">
        <v>1</v>
      </c>
      <c r="D23">
        <v>0</v>
      </c>
      <c r="E23">
        <v>1</v>
      </c>
      <c r="F23">
        <v>21</v>
      </c>
      <c r="G23" t="b">
        <v>0</v>
      </c>
      <c r="H23">
        <v>6</v>
      </c>
      <c r="I23">
        <v>2</v>
      </c>
      <c r="J23">
        <v>0.4</v>
      </c>
    </row>
    <row r="24" spans="1:10" x14ac:dyDescent="0.3">
      <c r="A24">
        <v>23</v>
      </c>
      <c r="B24" s="1">
        <v>40544</v>
      </c>
      <c r="C24">
        <v>1</v>
      </c>
      <c r="D24">
        <v>0</v>
      </c>
      <c r="E24">
        <v>1</v>
      </c>
      <c r="F24">
        <v>22</v>
      </c>
      <c r="G24" t="b">
        <v>0</v>
      </c>
      <c r="H24">
        <v>6</v>
      </c>
      <c r="I24">
        <v>2</v>
      </c>
      <c r="J24">
        <v>0.4</v>
      </c>
    </row>
    <row r="25" spans="1:10" x14ac:dyDescent="0.3">
      <c r="A25">
        <v>24</v>
      </c>
      <c r="B25" s="1">
        <v>40544</v>
      </c>
      <c r="C25">
        <v>1</v>
      </c>
      <c r="D25">
        <v>0</v>
      </c>
      <c r="E25">
        <v>1</v>
      </c>
      <c r="F25">
        <v>23</v>
      </c>
      <c r="G25" t="b">
        <v>0</v>
      </c>
      <c r="H25">
        <v>6</v>
      </c>
      <c r="I25">
        <v>2</v>
      </c>
      <c r="J25">
        <v>0.46</v>
      </c>
    </row>
    <row r="26" spans="1:10" x14ac:dyDescent="0.3">
      <c r="A26">
        <v>25</v>
      </c>
      <c r="B26" s="1">
        <v>40545</v>
      </c>
      <c r="C26">
        <v>1</v>
      </c>
      <c r="D26">
        <v>0</v>
      </c>
      <c r="E26">
        <v>1</v>
      </c>
      <c r="F26">
        <v>0</v>
      </c>
      <c r="G26" t="b">
        <v>0</v>
      </c>
      <c r="H26">
        <v>0</v>
      </c>
      <c r="I26">
        <v>2</v>
      </c>
      <c r="J26">
        <v>0.46</v>
      </c>
    </row>
    <row r="27" spans="1:10" x14ac:dyDescent="0.3">
      <c r="A27">
        <v>26</v>
      </c>
      <c r="B27" s="1">
        <v>40545</v>
      </c>
      <c r="C27">
        <v>1</v>
      </c>
      <c r="D27">
        <v>0</v>
      </c>
      <c r="E27">
        <v>1</v>
      </c>
      <c r="F27">
        <v>1</v>
      </c>
      <c r="G27" t="b">
        <v>0</v>
      </c>
      <c r="H27">
        <v>0</v>
      </c>
      <c r="I27">
        <v>2</v>
      </c>
      <c r="J27">
        <v>0.44</v>
      </c>
    </row>
    <row r="28" spans="1:10" x14ac:dyDescent="0.3">
      <c r="A28">
        <v>27</v>
      </c>
      <c r="B28" s="1">
        <v>40545</v>
      </c>
      <c r="C28">
        <v>1</v>
      </c>
      <c r="D28">
        <v>0</v>
      </c>
      <c r="E28">
        <v>1</v>
      </c>
      <c r="F28">
        <v>2</v>
      </c>
      <c r="G28" t="b">
        <v>0</v>
      </c>
      <c r="H28">
        <v>0</v>
      </c>
      <c r="I28">
        <v>2</v>
      </c>
      <c r="J28">
        <v>0.42</v>
      </c>
    </row>
    <row r="29" spans="1:10" x14ac:dyDescent="0.3">
      <c r="A29">
        <v>28</v>
      </c>
      <c r="B29" s="1">
        <v>40545</v>
      </c>
      <c r="C29">
        <v>1</v>
      </c>
      <c r="D29">
        <v>0</v>
      </c>
      <c r="E29">
        <v>1</v>
      </c>
      <c r="F29">
        <v>3</v>
      </c>
      <c r="G29" t="b">
        <v>0</v>
      </c>
      <c r="H29">
        <v>0</v>
      </c>
      <c r="I29">
        <v>2</v>
      </c>
      <c r="J29">
        <v>0.46</v>
      </c>
    </row>
    <row r="30" spans="1:10" x14ac:dyDescent="0.3">
      <c r="A30">
        <v>29</v>
      </c>
      <c r="B30" s="1">
        <v>40545</v>
      </c>
      <c r="C30">
        <v>1</v>
      </c>
      <c r="D30">
        <v>0</v>
      </c>
      <c r="E30">
        <v>1</v>
      </c>
      <c r="F30">
        <v>4</v>
      </c>
      <c r="G30" t="b">
        <v>0</v>
      </c>
      <c r="H30">
        <v>0</v>
      </c>
      <c r="I30">
        <v>2</v>
      </c>
      <c r="J30">
        <v>0.46</v>
      </c>
    </row>
    <row r="31" spans="1:10" x14ac:dyDescent="0.3">
      <c r="A31">
        <v>30</v>
      </c>
      <c r="B31" s="1">
        <v>40545</v>
      </c>
      <c r="C31">
        <v>1</v>
      </c>
      <c r="D31">
        <v>0</v>
      </c>
      <c r="E31">
        <v>1</v>
      </c>
      <c r="F31">
        <v>6</v>
      </c>
      <c r="G31" t="b">
        <v>0</v>
      </c>
      <c r="H31">
        <v>0</v>
      </c>
      <c r="I31">
        <v>3</v>
      </c>
      <c r="J31">
        <v>0.42</v>
      </c>
    </row>
    <row r="32" spans="1:10" x14ac:dyDescent="0.3">
      <c r="A32">
        <v>31</v>
      </c>
      <c r="B32" s="1">
        <v>40545</v>
      </c>
      <c r="C32">
        <v>1</v>
      </c>
      <c r="D32">
        <v>0</v>
      </c>
      <c r="E32">
        <v>1</v>
      </c>
      <c r="F32">
        <v>7</v>
      </c>
      <c r="G32" t="b">
        <v>0</v>
      </c>
      <c r="H32">
        <v>0</v>
      </c>
      <c r="I32">
        <v>2</v>
      </c>
      <c r="J32">
        <v>0.4</v>
      </c>
    </row>
    <row r="33" spans="1:10" x14ac:dyDescent="0.3">
      <c r="A33">
        <v>32</v>
      </c>
      <c r="B33" s="1">
        <v>40545</v>
      </c>
      <c r="C33">
        <v>1</v>
      </c>
      <c r="D33">
        <v>0</v>
      </c>
      <c r="E33">
        <v>1</v>
      </c>
      <c r="F33">
        <v>8</v>
      </c>
      <c r="G33" t="b">
        <v>0</v>
      </c>
      <c r="H33">
        <v>0</v>
      </c>
      <c r="I33">
        <v>3</v>
      </c>
      <c r="J33">
        <v>0.4</v>
      </c>
    </row>
    <row r="34" spans="1:10" x14ac:dyDescent="0.3">
      <c r="A34">
        <v>33</v>
      </c>
      <c r="B34" s="1">
        <v>40545</v>
      </c>
      <c r="C34">
        <v>1</v>
      </c>
      <c r="D34">
        <v>0</v>
      </c>
      <c r="E34">
        <v>1</v>
      </c>
      <c r="F34">
        <v>9</v>
      </c>
      <c r="G34" t="b">
        <v>0</v>
      </c>
      <c r="H34">
        <v>0</v>
      </c>
      <c r="I34">
        <v>2</v>
      </c>
      <c r="J34">
        <v>0.38</v>
      </c>
    </row>
    <row r="35" spans="1:10" x14ac:dyDescent="0.3">
      <c r="A35">
        <v>34</v>
      </c>
      <c r="B35" s="1">
        <v>40545</v>
      </c>
      <c r="C35">
        <v>1</v>
      </c>
      <c r="D35">
        <v>0</v>
      </c>
      <c r="E35">
        <v>1</v>
      </c>
      <c r="F35">
        <v>10</v>
      </c>
      <c r="G35" t="b">
        <v>0</v>
      </c>
      <c r="H35">
        <v>0</v>
      </c>
      <c r="I35">
        <v>2</v>
      </c>
      <c r="J35">
        <v>0.36</v>
      </c>
    </row>
    <row r="36" spans="1:10" x14ac:dyDescent="0.3">
      <c r="A36">
        <v>35</v>
      </c>
      <c r="B36" s="1">
        <v>40545</v>
      </c>
      <c r="C36">
        <v>1</v>
      </c>
      <c r="D36">
        <v>0</v>
      </c>
      <c r="E36">
        <v>1</v>
      </c>
      <c r="F36">
        <v>11</v>
      </c>
      <c r="G36" t="b">
        <v>0</v>
      </c>
      <c r="H36">
        <v>0</v>
      </c>
      <c r="I36">
        <v>2</v>
      </c>
      <c r="J36">
        <v>0.36</v>
      </c>
    </row>
    <row r="37" spans="1:10" x14ac:dyDescent="0.3">
      <c r="A37">
        <v>36</v>
      </c>
      <c r="B37" s="1">
        <v>40545</v>
      </c>
      <c r="C37">
        <v>1</v>
      </c>
      <c r="D37">
        <v>0</v>
      </c>
      <c r="E37">
        <v>1</v>
      </c>
      <c r="F37">
        <v>12</v>
      </c>
      <c r="G37" t="b">
        <v>0</v>
      </c>
      <c r="H37">
        <v>0</v>
      </c>
      <c r="I37">
        <v>2</v>
      </c>
      <c r="J37">
        <v>0.36</v>
      </c>
    </row>
    <row r="38" spans="1:10" x14ac:dyDescent="0.3">
      <c r="A38">
        <v>37</v>
      </c>
      <c r="B38" s="1">
        <v>40545</v>
      </c>
      <c r="C38">
        <v>1</v>
      </c>
      <c r="D38">
        <v>0</v>
      </c>
      <c r="E38">
        <v>1</v>
      </c>
      <c r="F38">
        <v>13</v>
      </c>
      <c r="G38" t="b">
        <v>0</v>
      </c>
      <c r="H38">
        <v>0</v>
      </c>
      <c r="I38">
        <v>2</v>
      </c>
      <c r="J38">
        <v>0.36</v>
      </c>
    </row>
    <row r="39" spans="1:10" x14ac:dyDescent="0.3">
      <c r="A39">
        <v>38</v>
      </c>
      <c r="B39" s="1">
        <v>40545</v>
      </c>
      <c r="C39">
        <v>1</v>
      </c>
      <c r="D39">
        <v>0</v>
      </c>
      <c r="E39">
        <v>1</v>
      </c>
      <c r="F39">
        <v>14</v>
      </c>
      <c r="G39" t="b">
        <v>0</v>
      </c>
      <c r="H39">
        <v>0</v>
      </c>
      <c r="I39">
        <v>3</v>
      </c>
      <c r="J39">
        <v>0.36</v>
      </c>
    </row>
    <row r="40" spans="1:10" x14ac:dyDescent="0.3">
      <c r="A40">
        <v>39</v>
      </c>
      <c r="B40" s="1">
        <v>40545</v>
      </c>
      <c r="C40">
        <v>1</v>
      </c>
      <c r="D40">
        <v>0</v>
      </c>
      <c r="E40">
        <v>1</v>
      </c>
      <c r="F40">
        <v>15</v>
      </c>
      <c r="G40" t="b">
        <v>0</v>
      </c>
      <c r="H40">
        <v>0</v>
      </c>
      <c r="I40">
        <v>3</v>
      </c>
      <c r="J40">
        <v>0.34</v>
      </c>
    </row>
    <row r="41" spans="1:10" x14ac:dyDescent="0.3">
      <c r="A41">
        <v>40</v>
      </c>
      <c r="B41" s="1">
        <v>40545</v>
      </c>
      <c r="C41">
        <v>1</v>
      </c>
      <c r="D41">
        <v>0</v>
      </c>
      <c r="E41">
        <v>1</v>
      </c>
      <c r="F41">
        <v>16</v>
      </c>
      <c r="G41" t="b">
        <v>0</v>
      </c>
      <c r="H41">
        <v>0</v>
      </c>
      <c r="I41">
        <v>3</v>
      </c>
      <c r="J41">
        <v>0.34</v>
      </c>
    </row>
    <row r="42" spans="1:10" x14ac:dyDescent="0.3">
      <c r="A42">
        <v>41</v>
      </c>
      <c r="B42" s="1">
        <v>40545</v>
      </c>
      <c r="C42">
        <v>1</v>
      </c>
      <c r="D42">
        <v>0</v>
      </c>
      <c r="E42">
        <v>1</v>
      </c>
      <c r="F42">
        <v>17</v>
      </c>
      <c r="G42" t="b">
        <v>0</v>
      </c>
      <c r="H42">
        <v>0</v>
      </c>
      <c r="I42">
        <v>1</v>
      </c>
      <c r="J42">
        <v>0.34</v>
      </c>
    </row>
    <row r="43" spans="1:10" x14ac:dyDescent="0.3">
      <c r="A43">
        <v>42</v>
      </c>
      <c r="B43" s="1">
        <v>40545</v>
      </c>
      <c r="C43">
        <v>1</v>
      </c>
      <c r="D43">
        <v>0</v>
      </c>
      <c r="E43">
        <v>1</v>
      </c>
      <c r="F43">
        <v>18</v>
      </c>
      <c r="G43" t="b">
        <v>0</v>
      </c>
      <c r="H43">
        <v>0</v>
      </c>
      <c r="I43">
        <v>2</v>
      </c>
      <c r="J43">
        <v>0.36</v>
      </c>
    </row>
    <row r="44" spans="1:10" x14ac:dyDescent="0.3">
      <c r="A44">
        <v>43</v>
      </c>
      <c r="B44" s="1">
        <v>40545</v>
      </c>
      <c r="C44">
        <v>1</v>
      </c>
      <c r="D44">
        <v>0</v>
      </c>
      <c r="E44">
        <v>1</v>
      </c>
      <c r="F44">
        <v>19</v>
      </c>
      <c r="G44" t="b">
        <v>0</v>
      </c>
      <c r="H44">
        <v>0</v>
      </c>
      <c r="I44">
        <v>1</v>
      </c>
      <c r="J44">
        <v>0.32</v>
      </c>
    </row>
    <row r="45" spans="1:10" x14ac:dyDescent="0.3">
      <c r="A45">
        <v>44</v>
      </c>
      <c r="B45" s="1">
        <v>40545</v>
      </c>
      <c r="C45">
        <v>1</v>
      </c>
      <c r="D45">
        <v>0</v>
      </c>
      <c r="E45">
        <v>1</v>
      </c>
      <c r="F45">
        <v>20</v>
      </c>
      <c r="G45" t="b">
        <v>0</v>
      </c>
      <c r="H45">
        <v>0</v>
      </c>
      <c r="I45">
        <v>1</v>
      </c>
      <c r="J45">
        <v>0.3</v>
      </c>
    </row>
    <row r="46" spans="1:10" x14ac:dyDescent="0.3">
      <c r="A46">
        <v>45</v>
      </c>
      <c r="B46" s="1">
        <v>40545</v>
      </c>
      <c r="C46">
        <v>1</v>
      </c>
      <c r="D46">
        <v>0</v>
      </c>
      <c r="E46">
        <v>1</v>
      </c>
      <c r="F46">
        <v>21</v>
      </c>
      <c r="G46" t="b">
        <v>0</v>
      </c>
      <c r="H46">
        <v>0</v>
      </c>
      <c r="I46">
        <v>1</v>
      </c>
      <c r="J46">
        <v>0.26</v>
      </c>
    </row>
    <row r="47" spans="1:10" x14ac:dyDescent="0.3">
      <c r="A47">
        <v>46</v>
      </c>
      <c r="B47" s="1">
        <v>40545</v>
      </c>
      <c r="C47">
        <v>1</v>
      </c>
      <c r="D47">
        <v>0</v>
      </c>
      <c r="E47">
        <v>1</v>
      </c>
      <c r="F47">
        <v>22</v>
      </c>
      <c r="G47" t="b">
        <v>0</v>
      </c>
      <c r="H47">
        <v>0</v>
      </c>
      <c r="I47">
        <v>1</v>
      </c>
      <c r="J47">
        <v>0.24</v>
      </c>
    </row>
    <row r="48" spans="1:10" x14ac:dyDescent="0.3">
      <c r="A48">
        <v>47</v>
      </c>
      <c r="B48" s="1">
        <v>40545</v>
      </c>
      <c r="C48">
        <v>1</v>
      </c>
      <c r="D48">
        <v>0</v>
      </c>
      <c r="E48">
        <v>1</v>
      </c>
      <c r="F48">
        <v>23</v>
      </c>
      <c r="G48" t="b">
        <v>0</v>
      </c>
      <c r="H48">
        <v>0</v>
      </c>
      <c r="I48">
        <v>1</v>
      </c>
      <c r="J48">
        <v>0.22</v>
      </c>
    </row>
    <row r="49" spans="1:10" x14ac:dyDescent="0.3">
      <c r="A49">
        <v>48</v>
      </c>
      <c r="B49" s="1">
        <v>40546</v>
      </c>
      <c r="C49">
        <v>1</v>
      </c>
      <c r="D49">
        <v>0</v>
      </c>
      <c r="E49">
        <v>1</v>
      </c>
      <c r="F49">
        <v>0</v>
      </c>
      <c r="G49" t="b">
        <v>0</v>
      </c>
      <c r="H49">
        <v>1</v>
      </c>
      <c r="I49">
        <v>1</v>
      </c>
      <c r="J49">
        <v>0.22</v>
      </c>
    </row>
    <row r="50" spans="1:10" x14ac:dyDescent="0.3">
      <c r="A50">
        <v>49</v>
      </c>
      <c r="B50" s="1">
        <v>40546</v>
      </c>
      <c r="C50">
        <v>1</v>
      </c>
      <c r="D50">
        <v>0</v>
      </c>
      <c r="E50">
        <v>1</v>
      </c>
      <c r="F50">
        <v>1</v>
      </c>
      <c r="G50" t="b">
        <v>0</v>
      </c>
      <c r="H50">
        <v>1</v>
      </c>
      <c r="I50">
        <v>1</v>
      </c>
      <c r="J50">
        <v>0.2</v>
      </c>
    </row>
    <row r="51" spans="1:10" x14ac:dyDescent="0.3">
      <c r="A51">
        <v>50</v>
      </c>
      <c r="B51" s="1">
        <v>40546</v>
      </c>
      <c r="C51">
        <v>1</v>
      </c>
      <c r="D51">
        <v>0</v>
      </c>
      <c r="E51">
        <v>1</v>
      </c>
      <c r="F51">
        <v>4</v>
      </c>
      <c r="G51" t="b">
        <v>0</v>
      </c>
      <c r="H51">
        <v>1</v>
      </c>
      <c r="I51">
        <v>1</v>
      </c>
      <c r="J51">
        <v>0.16</v>
      </c>
    </row>
    <row r="52" spans="1:10" x14ac:dyDescent="0.3">
      <c r="A52">
        <v>51</v>
      </c>
      <c r="B52" s="1">
        <v>40546</v>
      </c>
      <c r="C52">
        <v>1</v>
      </c>
      <c r="D52">
        <v>0</v>
      </c>
      <c r="E52">
        <v>1</v>
      </c>
      <c r="F52">
        <v>5</v>
      </c>
      <c r="G52" t="b">
        <v>0</v>
      </c>
      <c r="H52">
        <v>1</v>
      </c>
      <c r="I52">
        <v>1</v>
      </c>
      <c r="J52">
        <v>0.16</v>
      </c>
    </row>
    <row r="53" spans="1:10" x14ac:dyDescent="0.3">
      <c r="A53">
        <v>52</v>
      </c>
      <c r="B53" s="1">
        <v>40546</v>
      </c>
      <c r="C53">
        <v>1</v>
      </c>
      <c r="D53">
        <v>0</v>
      </c>
      <c r="E53">
        <v>1</v>
      </c>
      <c r="F53">
        <v>6</v>
      </c>
      <c r="G53" t="b">
        <v>0</v>
      </c>
      <c r="H53">
        <v>1</v>
      </c>
      <c r="I53">
        <v>1</v>
      </c>
      <c r="J53">
        <v>0.14000000000000001</v>
      </c>
    </row>
    <row r="54" spans="1:10" x14ac:dyDescent="0.3">
      <c r="A54">
        <v>53</v>
      </c>
      <c r="B54" s="1">
        <v>40546</v>
      </c>
      <c r="C54">
        <v>1</v>
      </c>
      <c r="D54">
        <v>0</v>
      </c>
      <c r="E54">
        <v>1</v>
      </c>
      <c r="F54">
        <v>7</v>
      </c>
      <c r="G54" t="b">
        <v>0</v>
      </c>
      <c r="H54">
        <v>1</v>
      </c>
      <c r="I54">
        <v>1</v>
      </c>
      <c r="J54">
        <v>0.14000000000000001</v>
      </c>
    </row>
    <row r="55" spans="1:10" x14ac:dyDescent="0.3">
      <c r="A55">
        <v>54</v>
      </c>
      <c r="B55" s="1">
        <v>40546</v>
      </c>
      <c r="C55">
        <v>1</v>
      </c>
      <c r="D55">
        <v>0</v>
      </c>
      <c r="E55">
        <v>1</v>
      </c>
      <c r="F55">
        <v>8</v>
      </c>
      <c r="G55" t="b">
        <v>0</v>
      </c>
      <c r="H55">
        <v>1</v>
      </c>
      <c r="I55">
        <v>1</v>
      </c>
      <c r="J55">
        <v>0.14000000000000001</v>
      </c>
    </row>
    <row r="56" spans="1:10" x14ac:dyDescent="0.3">
      <c r="A56">
        <v>55</v>
      </c>
      <c r="B56" s="1">
        <v>40546</v>
      </c>
      <c r="C56">
        <v>1</v>
      </c>
      <c r="D56">
        <v>0</v>
      </c>
      <c r="E56">
        <v>1</v>
      </c>
      <c r="F56">
        <v>9</v>
      </c>
      <c r="G56" t="b">
        <v>0</v>
      </c>
      <c r="H56">
        <v>1</v>
      </c>
      <c r="I56">
        <v>1</v>
      </c>
      <c r="J56">
        <v>0.16</v>
      </c>
    </row>
    <row r="57" spans="1:10" x14ac:dyDescent="0.3">
      <c r="A57">
        <v>56</v>
      </c>
      <c r="B57" s="1">
        <v>40546</v>
      </c>
      <c r="C57">
        <v>1</v>
      </c>
      <c r="D57">
        <v>0</v>
      </c>
      <c r="E57">
        <v>1</v>
      </c>
      <c r="F57">
        <v>10</v>
      </c>
      <c r="G57" t="b">
        <v>0</v>
      </c>
      <c r="H57">
        <v>1</v>
      </c>
      <c r="I57">
        <v>1</v>
      </c>
      <c r="J57">
        <v>0.18</v>
      </c>
    </row>
    <row r="58" spans="1:10" x14ac:dyDescent="0.3">
      <c r="A58">
        <v>57</v>
      </c>
      <c r="B58" s="1">
        <v>40546</v>
      </c>
      <c r="C58">
        <v>1</v>
      </c>
      <c r="D58">
        <v>0</v>
      </c>
      <c r="E58">
        <v>1</v>
      </c>
      <c r="F58">
        <v>11</v>
      </c>
      <c r="G58" t="b">
        <v>0</v>
      </c>
      <c r="H58">
        <v>1</v>
      </c>
      <c r="I58">
        <v>1</v>
      </c>
      <c r="J58">
        <v>0.2</v>
      </c>
    </row>
    <row r="59" spans="1:10" x14ac:dyDescent="0.3">
      <c r="A59">
        <v>58</v>
      </c>
      <c r="B59" s="1">
        <v>40546</v>
      </c>
      <c r="C59">
        <v>1</v>
      </c>
      <c r="D59">
        <v>0</v>
      </c>
      <c r="E59">
        <v>1</v>
      </c>
      <c r="F59">
        <v>12</v>
      </c>
      <c r="G59" t="b">
        <v>0</v>
      </c>
      <c r="H59">
        <v>1</v>
      </c>
      <c r="I59">
        <v>1</v>
      </c>
      <c r="J59">
        <v>0.22</v>
      </c>
    </row>
    <row r="60" spans="1:10" x14ac:dyDescent="0.3">
      <c r="A60">
        <v>59</v>
      </c>
      <c r="B60" s="1">
        <v>40546</v>
      </c>
      <c r="C60">
        <v>1</v>
      </c>
      <c r="D60">
        <v>0</v>
      </c>
      <c r="E60">
        <v>1</v>
      </c>
      <c r="F60">
        <v>13</v>
      </c>
      <c r="G60" t="b">
        <v>0</v>
      </c>
      <c r="H60">
        <v>1</v>
      </c>
      <c r="I60">
        <v>1</v>
      </c>
      <c r="J60">
        <v>0.24</v>
      </c>
    </row>
    <row r="61" spans="1:10" x14ac:dyDescent="0.3">
      <c r="A61">
        <v>60</v>
      </c>
      <c r="B61" s="1">
        <v>40546</v>
      </c>
      <c r="C61">
        <v>1</v>
      </c>
      <c r="D61">
        <v>0</v>
      </c>
      <c r="E61">
        <v>1</v>
      </c>
      <c r="F61">
        <v>14</v>
      </c>
      <c r="G61" t="b">
        <v>0</v>
      </c>
      <c r="H61">
        <v>1</v>
      </c>
      <c r="I61">
        <v>1</v>
      </c>
      <c r="J61">
        <v>0.26</v>
      </c>
    </row>
    <row r="62" spans="1:10" x14ac:dyDescent="0.3">
      <c r="A62">
        <v>61</v>
      </c>
      <c r="B62" s="1">
        <v>40546</v>
      </c>
      <c r="C62">
        <v>1</v>
      </c>
      <c r="D62">
        <v>0</v>
      </c>
      <c r="E62">
        <v>1</v>
      </c>
      <c r="F62">
        <v>15</v>
      </c>
      <c r="G62" t="b">
        <v>0</v>
      </c>
      <c r="H62">
        <v>1</v>
      </c>
      <c r="I62">
        <v>1</v>
      </c>
      <c r="J62">
        <v>0.26</v>
      </c>
    </row>
    <row r="63" spans="1:10" x14ac:dyDescent="0.3">
      <c r="A63">
        <v>62</v>
      </c>
      <c r="B63" s="1">
        <v>40546</v>
      </c>
      <c r="C63">
        <v>1</v>
      </c>
      <c r="D63">
        <v>0</v>
      </c>
      <c r="E63">
        <v>1</v>
      </c>
      <c r="F63">
        <v>16</v>
      </c>
      <c r="G63" t="b">
        <v>0</v>
      </c>
      <c r="H63">
        <v>1</v>
      </c>
      <c r="I63">
        <v>1</v>
      </c>
      <c r="J63">
        <v>0.26</v>
      </c>
    </row>
    <row r="64" spans="1:10" x14ac:dyDescent="0.3">
      <c r="A64">
        <v>63</v>
      </c>
      <c r="B64" s="1">
        <v>40546</v>
      </c>
      <c r="C64">
        <v>1</v>
      </c>
      <c r="D64">
        <v>0</v>
      </c>
      <c r="E64">
        <v>1</v>
      </c>
      <c r="F64">
        <v>17</v>
      </c>
      <c r="G64" t="b">
        <v>0</v>
      </c>
      <c r="H64">
        <v>1</v>
      </c>
      <c r="I64">
        <v>1</v>
      </c>
      <c r="J64">
        <v>0.24</v>
      </c>
    </row>
    <row r="65" spans="1:10" x14ac:dyDescent="0.3">
      <c r="A65">
        <v>64</v>
      </c>
      <c r="B65" s="1">
        <v>40546</v>
      </c>
      <c r="C65">
        <v>1</v>
      </c>
      <c r="D65">
        <v>0</v>
      </c>
      <c r="E65">
        <v>1</v>
      </c>
      <c r="F65">
        <v>18</v>
      </c>
      <c r="G65" t="b">
        <v>0</v>
      </c>
      <c r="H65">
        <v>1</v>
      </c>
      <c r="I65">
        <v>1</v>
      </c>
      <c r="J65">
        <v>0.24</v>
      </c>
    </row>
    <row r="66" spans="1:10" x14ac:dyDescent="0.3">
      <c r="A66">
        <v>65</v>
      </c>
      <c r="B66" s="1">
        <v>40546</v>
      </c>
      <c r="C66">
        <v>1</v>
      </c>
      <c r="D66">
        <v>0</v>
      </c>
      <c r="E66">
        <v>1</v>
      </c>
      <c r="F66">
        <v>19</v>
      </c>
      <c r="G66" t="b">
        <v>0</v>
      </c>
      <c r="H66">
        <v>1</v>
      </c>
      <c r="I66">
        <v>1</v>
      </c>
      <c r="J66">
        <v>0.2</v>
      </c>
    </row>
    <row r="67" spans="1:10" x14ac:dyDescent="0.3">
      <c r="A67">
        <v>66</v>
      </c>
      <c r="B67" s="1">
        <v>40546</v>
      </c>
      <c r="C67">
        <v>1</v>
      </c>
      <c r="D67">
        <v>0</v>
      </c>
      <c r="E67">
        <v>1</v>
      </c>
      <c r="F67">
        <v>20</v>
      </c>
      <c r="G67" t="b">
        <v>0</v>
      </c>
      <c r="H67">
        <v>1</v>
      </c>
      <c r="I67">
        <v>1</v>
      </c>
      <c r="J67">
        <v>0.2</v>
      </c>
    </row>
    <row r="68" spans="1:10" x14ac:dyDescent="0.3">
      <c r="A68">
        <v>67</v>
      </c>
      <c r="B68" s="1">
        <v>40546</v>
      </c>
      <c r="C68">
        <v>1</v>
      </c>
      <c r="D68">
        <v>0</v>
      </c>
      <c r="E68">
        <v>1</v>
      </c>
      <c r="F68">
        <v>21</v>
      </c>
      <c r="G68" t="b">
        <v>0</v>
      </c>
      <c r="H68">
        <v>1</v>
      </c>
      <c r="I68">
        <v>1</v>
      </c>
      <c r="J68">
        <v>0.18</v>
      </c>
    </row>
    <row r="69" spans="1:10" x14ac:dyDescent="0.3">
      <c r="A69">
        <v>68</v>
      </c>
      <c r="B69" s="1">
        <v>40546</v>
      </c>
      <c r="C69">
        <v>1</v>
      </c>
      <c r="D69">
        <v>0</v>
      </c>
      <c r="E69">
        <v>1</v>
      </c>
      <c r="F69">
        <v>22</v>
      </c>
      <c r="G69" t="b">
        <v>0</v>
      </c>
      <c r="H69">
        <v>1</v>
      </c>
      <c r="I69">
        <v>1</v>
      </c>
      <c r="J69">
        <v>0.14000000000000001</v>
      </c>
    </row>
    <row r="70" spans="1:10" x14ac:dyDescent="0.3">
      <c r="A70">
        <v>69</v>
      </c>
      <c r="B70" s="1">
        <v>40546</v>
      </c>
      <c r="C70">
        <v>1</v>
      </c>
      <c r="D70">
        <v>0</v>
      </c>
      <c r="E70">
        <v>1</v>
      </c>
      <c r="F70">
        <v>23</v>
      </c>
      <c r="G70" t="b">
        <v>0</v>
      </c>
      <c r="H70">
        <v>1</v>
      </c>
      <c r="I70">
        <v>1</v>
      </c>
      <c r="J70">
        <v>0.18</v>
      </c>
    </row>
    <row r="71" spans="1:10" x14ac:dyDescent="0.3">
      <c r="A71">
        <v>70</v>
      </c>
      <c r="B71" s="1">
        <v>40547</v>
      </c>
      <c r="C71">
        <v>1</v>
      </c>
      <c r="D71">
        <v>0</v>
      </c>
      <c r="E71">
        <v>1</v>
      </c>
      <c r="F71">
        <v>0</v>
      </c>
      <c r="G71" t="b">
        <v>0</v>
      </c>
      <c r="H71">
        <v>2</v>
      </c>
      <c r="I71">
        <v>1</v>
      </c>
      <c r="J71">
        <v>0.16</v>
      </c>
    </row>
    <row r="72" spans="1:10" x14ac:dyDescent="0.3">
      <c r="A72">
        <v>71</v>
      </c>
      <c r="B72" s="1">
        <v>40547</v>
      </c>
      <c r="C72">
        <v>1</v>
      </c>
      <c r="D72">
        <v>0</v>
      </c>
      <c r="E72">
        <v>1</v>
      </c>
      <c r="F72">
        <v>1</v>
      </c>
      <c r="G72" t="b">
        <v>0</v>
      </c>
      <c r="H72">
        <v>2</v>
      </c>
      <c r="I72">
        <v>1</v>
      </c>
      <c r="J72">
        <v>0.16</v>
      </c>
    </row>
    <row r="73" spans="1:10" x14ac:dyDescent="0.3">
      <c r="A73">
        <v>72</v>
      </c>
      <c r="B73" s="1">
        <v>40547</v>
      </c>
      <c r="C73">
        <v>1</v>
      </c>
      <c r="D73">
        <v>0</v>
      </c>
      <c r="E73">
        <v>1</v>
      </c>
      <c r="F73">
        <v>2</v>
      </c>
      <c r="G73" t="b">
        <v>0</v>
      </c>
      <c r="H73">
        <v>2</v>
      </c>
      <c r="I73">
        <v>1</v>
      </c>
      <c r="J73">
        <v>0.14000000000000001</v>
      </c>
    </row>
    <row r="74" spans="1:10" x14ac:dyDescent="0.3">
      <c r="A74">
        <v>73</v>
      </c>
      <c r="B74" s="1">
        <v>40547</v>
      </c>
      <c r="C74">
        <v>1</v>
      </c>
      <c r="D74">
        <v>0</v>
      </c>
      <c r="E74">
        <v>1</v>
      </c>
      <c r="F74">
        <v>4</v>
      </c>
      <c r="G74" t="b">
        <v>0</v>
      </c>
      <c r="H74">
        <v>2</v>
      </c>
      <c r="I74">
        <v>1</v>
      </c>
      <c r="J74">
        <v>0.14000000000000001</v>
      </c>
    </row>
    <row r="75" spans="1:10" x14ac:dyDescent="0.3">
      <c r="A75">
        <v>74</v>
      </c>
      <c r="B75" s="1">
        <v>40547</v>
      </c>
      <c r="C75">
        <v>1</v>
      </c>
      <c r="D75">
        <v>0</v>
      </c>
      <c r="E75">
        <v>1</v>
      </c>
      <c r="F75">
        <v>5</v>
      </c>
      <c r="G75" t="b">
        <v>0</v>
      </c>
      <c r="H75">
        <v>2</v>
      </c>
      <c r="I75">
        <v>1</v>
      </c>
      <c r="J75">
        <v>0.12</v>
      </c>
    </row>
    <row r="76" spans="1:10" x14ac:dyDescent="0.3">
      <c r="A76">
        <v>75</v>
      </c>
      <c r="B76" s="1">
        <v>40547</v>
      </c>
      <c r="C76">
        <v>1</v>
      </c>
      <c r="D76">
        <v>0</v>
      </c>
      <c r="E76">
        <v>1</v>
      </c>
      <c r="F76">
        <v>6</v>
      </c>
      <c r="G76" t="b">
        <v>0</v>
      </c>
      <c r="H76">
        <v>2</v>
      </c>
      <c r="I76">
        <v>1</v>
      </c>
      <c r="J76">
        <v>0.12</v>
      </c>
    </row>
    <row r="77" spans="1:10" x14ac:dyDescent="0.3">
      <c r="A77">
        <v>76</v>
      </c>
      <c r="B77" s="1">
        <v>40547</v>
      </c>
      <c r="C77">
        <v>1</v>
      </c>
      <c r="D77">
        <v>0</v>
      </c>
      <c r="E77">
        <v>1</v>
      </c>
      <c r="F77">
        <v>7</v>
      </c>
      <c r="G77" t="b">
        <v>0</v>
      </c>
      <c r="H77">
        <v>2</v>
      </c>
      <c r="I77">
        <v>1</v>
      </c>
      <c r="J77">
        <v>0.12</v>
      </c>
    </row>
    <row r="78" spans="1:10" x14ac:dyDescent="0.3">
      <c r="A78">
        <v>77</v>
      </c>
      <c r="B78" s="1">
        <v>40547</v>
      </c>
      <c r="C78">
        <v>1</v>
      </c>
      <c r="D78">
        <v>0</v>
      </c>
      <c r="E78">
        <v>1</v>
      </c>
      <c r="F78">
        <v>8</v>
      </c>
      <c r="G78" t="b">
        <v>0</v>
      </c>
      <c r="H78">
        <v>2</v>
      </c>
      <c r="I78">
        <v>1</v>
      </c>
      <c r="J78">
        <v>0.14000000000000001</v>
      </c>
    </row>
    <row r="79" spans="1:10" x14ac:dyDescent="0.3">
      <c r="A79">
        <v>78</v>
      </c>
      <c r="B79" s="1">
        <v>40547</v>
      </c>
      <c r="C79">
        <v>1</v>
      </c>
      <c r="D79">
        <v>0</v>
      </c>
      <c r="E79">
        <v>1</v>
      </c>
      <c r="F79">
        <v>9</v>
      </c>
      <c r="G79" t="b">
        <v>0</v>
      </c>
      <c r="H79">
        <v>2</v>
      </c>
      <c r="I79">
        <v>1</v>
      </c>
      <c r="J79">
        <v>0.16</v>
      </c>
    </row>
    <row r="80" spans="1:10" x14ac:dyDescent="0.3">
      <c r="A80">
        <v>79</v>
      </c>
      <c r="B80" s="1">
        <v>40547</v>
      </c>
      <c r="C80">
        <v>1</v>
      </c>
      <c r="D80">
        <v>0</v>
      </c>
      <c r="E80">
        <v>1</v>
      </c>
      <c r="F80">
        <v>10</v>
      </c>
      <c r="G80" t="b">
        <v>0</v>
      </c>
      <c r="H80">
        <v>2</v>
      </c>
      <c r="I80">
        <v>2</v>
      </c>
      <c r="J80">
        <v>0.16</v>
      </c>
    </row>
    <row r="81" spans="1:10" x14ac:dyDescent="0.3">
      <c r="A81">
        <v>80</v>
      </c>
      <c r="B81" s="1">
        <v>40547</v>
      </c>
      <c r="C81">
        <v>1</v>
      </c>
      <c r="D81">
        <v>0</v>
      </c>
      <c r="E81">
        <v>1</v>
      </c>
      <c r="F81">
        <v>11</v>
      </c>
      <c r="G81" t="b">
        <v>0</v>
      </c>
      <c r="H81">
        <v>2</v>
      </c>
      <c r="I81">
        <v>1</v>
      </c>
      <c r="J81">
        <v>0.22</v>
      </c>
    </row>
    <row r="82" spans="1:10" x14ac:dyDescent="0.3">
      <c r="A82">
        <v>81</v>
      </c>
      <c r="B82" s="1">
        <v>40547</v>
      </c>
      <c r="C82">
        <v>1</v>
      </c>
      <c r="D82">
        <v>0</v>
      </c>
      <c r="E82">
        <v>1</v>
      </c>
      <c r="F82">
        <v>12</v>
      </c>
      <c r="G82" t="b">
        <v>0</v>
      </c>
      <c r="H82">
        <v>2</v>
      </c>
      <c r="I82">
        <v>1</v>
      </c>
      <c r="J82">
        <v>0.22</v>
      </c>
    </row>
    <row r="83" spans="1:10" x14ac:dyDescent="0.3">
      <c r="A83">
        <v>82</v>
      </c>
      <c r="B83" s="1">
        <v>40547</v>
      </c>
      <c r="C83">
        <v>1</v>
      </c>
      <c r="D83">
        <v>0</v>
      </c>
      <c r="E83">
        <v>1</v>
      </c>
      <c r="F83">
        <v>13</v>
      </c>
      <c r="G83" t="b">
        <v>0</v>
      </c>
      <c r="H83">
        <v>2</v>
      </c>
      <c r="I83">
        <v>1</v>
      </c>
      <c r="J83">
        <v>0.24</v>
      </c>
    </row>
    <row r="84" spans="1:10" x14ac:dyDescent="0.3">
      <c r="A84">
        <v>83</v>
      </c>
      <c r="B84" s="1">
        <v>40547</v>
      </c>
      <c r="C84">
        <v>1</v>
      </c>
      <c r="D84">
        <v>0</v>
      </c>
      <c r="E84">
        <v>1</v>
      </c>
      <c r="F84">
        <v>14</v>
      </c>
      <c r="G84" t="b">
        <v>0</v>
      </c>
      <c r="H84">
        <v>2</v>
      </c>
      <c r="I84">
        <v>1</v>
      </c>
      <c r="J84">
        <v>0.26</v>
      </c>
    </row>
    <row r="85" spans="1:10" x14ac:dyDescent="0.3">
      <c r="A85">
        <v>84</v>
      </c>
      <c r="B85" s="1">
        <v>40547</v>
      </c>
      <c r="C85">
        <v>1</v>
      </c>
      <c r="D85">
        <v>0</v>
      </c>
      <c r="E85">
        <v>1</v>
      </c>
      <c r="F85">
        <v>15</v>
      </c>
      <c r="G85" t="b">
        <v>0</v>
      </c>
      <c r="H85">
        <v>2</v>
      </c>
      <c r="I85">
        <v>1</v>
      </c>
      <c r="J85">
        <v>0.28000000000000003</v>
      </c>
    </row>
    <row r="86" spans="1:10" x14ac:dyDescent="0.3">
      <c r="A86">
        <v>85</v>
      </c>
      <c r="B86" s="1">
        <v>40547</v>
      </c>
      <c r="C86">
        <v>1</v>
      </c>
      <c r="D86">
        <v>0</v>
      </c>
      <c r="E86">
        <v>1</v>
      </c>
      <c r="F86">
        <v>16</v>
      </c>
      <c r="G86" t="b">
        <v>0</v>
      </c>
      <c r="H86">
        <v>2</v>
      </c>
      <c r="I86">
        <v>1</v>
      </c>
      <c r="J86">
        <v>0.3</v>
      </c>
    </row>
    <row r="87" spans="1:10" x14ac:dyDescent="0.3">
      <c r="A87">
        <v>86</v>
      </c>
      <c r="B87" s="1">
        <v>40547</v>
      </c>
      <c r="C87">
        <v>1</v>
      </c>
      <c r="D87">
        <v>0</v>
      </c>
      <c r="E87">
        <v>1</v>
      </c>
      <c r="F87">
        <v>17</v>
      </c>
      <c r="G87" t="b">
        <v>0</v>
      </c>
      <c r="H87">
        <v>2</v>
      </c>
      <c r="I87">
        <v>1</v>
      </c>
      <c r="J87">
        <v>0.28000000000000003</v>
      </c>
    </row>
    <row r="88" spans="1:10" x14ac:dyDescent="0.3">
      <c r="A88">
        <v>87</v>
      </c>
      <c r="B88" s="1">
        <v>40547</v>
      </c>
      <c r="C88">
        <v>1</v>
      </c>
      <c r="D88">
        <v>0</v>
      </c>
      <c r="E88">
        <v>1</v>
      </c>
      <c r="F88">
        <v>18</v>
      </c>
      <c r="G88" t="b">
        <v>0</v>
      </c>
      <c r="H88">
        <v>2</v>
      </c>
      <c r="I88">
        <v>1</v>
      </c>
      <c r="J88">
        <v>0.26</v>
      </c>
    </row>
    <row r="89" spans="1:10" x14ac:dyDescent="0.3">
      <c r="A89">
        <v>88</v>
      </c>
      <c r="B89" s="1">
        <v>40547</v>
      </c>
      <c r="C89">
        <v>1</v>
      </c>
      <c r="D89">
        <v>0</v>
      </c>
      <c r="E89">
        <v>1</v>
      </c>
      <c r="F89">
        <v>19</v>
      </c>
      <c r="G89" t="b">
        <v>0</v>
      </c>
      <c r="H89">
        <v>2</v>
      </c>
      <c r="I89">
        <v>1</v>
      </c>
      <c r="J89">
        <v>0.24</v>
      </c>
    </row>
    <row r="90" spans="1:10" x14ac:dyDescent="0.3">
      <c r="A90">
        <v>89</v>
      </c>
      <c r="B90" s="1">
        <v>40547</v>
      </c>
      <c r="C90">
        <v>1</v>
      </c>
      <c r="D90">
        <v>0</v>
      </c>
      <c r="E90">
        <v>1</v>
      </c>
      <c r="F90">
        <v>20</v>
      </c>
      <c r="G90" t="b">
        <v>0</v>
      </c>
      <c r="H90">
        <v>2</v>
      </c>
      <c r="I90">
        <v>1</v>
      </c>
      <c r="J90">
        <v>0.24</v>
      </c>
    </row>
    <row r="91" spans="1:10" x14ac:dyDescent="0.3">
      <c r="A91">
        <v>90</v>
      </c>
      <c r="B91" s="1">
        <v>40547</v>
      </c>
      <c r="C91">
        <v>1</v>
      </c>
      <c r="D91">
        <v>0</v>
      </c>
      <c r="E91">
        <v>1</v>
      </c>
      <c r="F91">
        <v>21</v>
      </c>
      <c r="G91" t="b">
        <v>0</v>
      </c>
      <c r="H91">
        <v>2</v>
      </c>
      <c r="I91">
        <v>1</v>
      </c>
      <c r="J91">
        <v>0.22</v>
      </c>
    </row>
    <row r="92" spans="1:10" x14ac:dyDescent="0.3">
      <c r="A92">
        <v>91</v>
      </c>
      <c r="B92" s="1">
        <v>40547</v>
      </c>
      <c r="C92">
        <v>1</v>
      </c>
      <c r="D92">
        <v>0</v>
      </c>
      <c r="E92">
        <v>1</v>
      </c>
      <c r="F92">
        <v>22</v>
      </c>
      <c r="G92" t="b">
        <v>0</v>
      </c>
      <c r="H92">
        <v>2</v>
      </c>
      <c r="I92">
        <v>1</v>
      </c>
      <c r="J92">
        <v>0.22</v>
      </c>
    </row>
    <row r="93" spans="1:10" x14ac:dyDescent="0.3">
      <c r="A93">
        <v>92</v>
      </c>
      <c r="B93" s="1">
        <v>40547</v>
      </c>
      <c r="C93">
        <v>1</v>
      </c>
      <c r="D93">
        <v>0</v>
      </c>
      <c r="E93">
        <v>1</v>
      </c>
      <c r="F93">
        <v>23</v>
      </c>
      <c r="G93" t="b">
        <v>0</v>
      </c>
      <c r="H93">
        <v>2</v>
      </c>
      <c r="I93">
        <v>1</v>
      </c>
      <c r="J93">
        <v>0.2</v>
      </c>
    </row>
    <row r="94" spans="1:10" x14ac:dyDescent="0.3">
      <c r="A94">
        <v>93</v>
      </c>
      <c r="B94" s="1">
        <v>40548</v>
      </c>
      <c r="C94">
        <v>1</v>
      </c>
      <c r="D94">
        <v>0</v>
      </c>
      <c r="E94">
        <v>1</v>
      </c>
      <c r="F94">
        <v>0</v>
      </c>
      <c r="G94" t="b">
        <v>0</v>
      </c>
      <c r="H94">
        <v>3</v>
      </c>
      <c r="I94">
        <v>1</v>
      </c>
      <c r="J94">
        <v>0.2</v>
      </c>
    </row>
    <row r="95" spans="1:10" x14ac:dyDescent="0.3">
      <c r="A95">
        <v>94</v>
      </c>
      <c r="B95" s="1">
        <v>40548</v>
      </c>
      <c r="C95">
        <v>1</v>
      </c>
      <c r="D95">
        <v>0</v>
      </c>
      <c r="E95">
        <v>1</v>
      </c>
      <c r="F95">
        <v>1</v>
      </c>
      <c r="G95" t="b">
        <v>0</v>
      </c>
      <c r="H95">
        <v>3</v>
      </c>
      <c r="I95">
        <v>1</v>
      </c>
      <c r="J95">
        <v>0.16</v>
      </c>
    </row>
    <row r="96" spans="1:10" x14ac:dyDescent="0.3">
      <c r="A96">
        <v>95</v>
      </c>
      <c r="B96" s="1">
        <v>40548</v>
      </c>
      <c r="C96">
        <v>1</v>
      </c>
      <c r="D96">
        <v>0</v>
      </c>
      <c r="E96">
        <v>1</v>
      </c>
      <c r="F96">
        <v>2</v>
      </c>
      <c r="G96" t="b">
        <v>0</v>
      </c>
      <c r="H96">
        <v>3</v>
      </c>
      <c r="I96">
        <v>1</v>
      </c>
      <c r="J96">
        <v>0.16</v>
      </c>
    </row>
    <row r="97" spans="1:10" x14ac:dyDescent="0.3">
      <c r="A97">
        <v>96</v>
      </c>
      <c r="B97" s="1">
        <v>40548</v>
      </c>
      <c r="C97">
        <v>1</v>
      </c>
      <c r="D97">
        <v>0</v>
      </c>
      <c r="E97">
        <v>1</v>
      </c>
      <c r="F97">
        <v>4</v>
      </c>
      <c r="G97" t="b">
        <v>0</v>
      </c>
      <c r="H97">
        <v>3</v>
      </c>
      <c r="I97">
        <v>1</v>
      </c>
      <c r="J97">
        <v>0.24</v>
      </c>
    </row>
    <row r="98" spans="1:10" x14ac:dyDescent="0.3">
      <c r="A98">
        <v>97</v>
      </c>
      <c r="B98" s="1">
        <v>40548</v>
      </c>
      <c r="C98">
        <v>1</v>
      </c>
      <c r="D98">
        <v>0</v>
      </c>
      <c r="E98">
        <v>1</v>
      </c>
      <c r="F98">
        <v>5</v>
      </c>
      <c r="G98" t="b">
        <v>0</v>
      </c>
      <c r="H98">
        <v>3</v>
      </c>
      <c r="I98">
        <v>1</v>
      </c>
      <c r="J98">
        <v>0.22</v>
      </c>
    </row>
    <row r="99" spans="1:10" x14ac:dyDescent="0.3">
      <c r="A99">
        <v>98</v>
      </c>
      <c r="B99" s="1">
        <v>40548</v>
      </c>
      <c r="C99">
        <v>1</v>
      </c>
      <c r="D99">
        <v>0</v>
      </c>
      <c r="E99">
        <v>1</v>
      </c>
      <c r="F99">
        <v>6</v>
      </c>
      <c r="G99" t="b">
        <v>0</v>
      </c>
      <c r="H99">
        <v>3</v>
      </c>
      <c r="I99">
        <v>1</v>
      </c>
      <c r="J99">
        <v>0.2</v>
      </c>
    </row>
    <row r="100" spans="1:10" x14ac:dyDescent="0.3">
      <c r="A100">
        <v>99</v>
      </c>
      <c r="B100" s="1">
        <v>40548</v>
      </c>
      <c r="C100">
        <v>1</v>
      </c>
      <c r="D100">
        <v>0</v>
      </c>
      <c r="E100">
        <v>1</v>
      </c>
      <c r="F100">
        <v>7</v>
      </c>
      <c r="G100" t="b">
        <v>0</v>
      </c>
      <c r="H100">
        <v>3</v>
      </c>
      <c r="I100">
        <v>1</v>
      </c>
      <c r="J100">
        <v>0.18</v>
      </c>
    </row>
    <row r="101" spans="1:10" x14ac:dyDescent="0.3">
      <c r="A101">
        <v>100</v>
      </c>
      <c r="B101" s="1">
        <v>40548</v>
      </c>
      <c r="C101">
        <v>1</v>
      </c>
      <c r="D101">
        <v>0</v>
      </c>
      <c r="E101">
        <v>1</v>
      </c>
      <c r="F101">
        <v>8</v>
      </c>
      <c r="G101" t="b">
        <v>0</v>
      </c>
      <c r="H101">
        <v>3</v>
      </c>
      <c r="I101">
        <v>1</v>
      </c>
      <c r="J101">
        <v>0.2</v>
      </c>
    </row>
    <row r="102" spans="1:10" x14ac:dyDescent="0.3">
      <c r="A102">
        <v>101</v>
      </c>
      <c r="B102" s="1">
        <v>40548</v>
      </c>
      <c r="C102">
        <v>1</v>
      </c>
      <c r="D102">
        <v>0</v>
      </c>
      <c r="E102">
        <v>1</v>
      </c>
      <c r="F102">
        <v>9</v>
      </c>
      <c r="G102" t="b">
        <v>0</v>
      </c>
      <c r="H102">
        <v>3</v>
      </c>
      <c r="I102">
        <v>1</v>
      </c>
      <c r="J102">
        <v>0.22</v>
      </c>
    </row>
    <row r="103" spans="1:10" x14ac:dyDescent="0.3">
      <c r="A103">
        <v>102</v>
      </c>
      <c r="B103" s="1">
        <v>40548</v>
      </c>
      <c r="C103">
        <v>1</v>
      </c>
      <c r="D103">
        <v>0</v>
      </c>
      <c r="E103">
        <v>1</v>
      </c>
      <c r="F103">
        <v>10</v>
      </c>
      <c r="G103" t="b">
        <v>0</v>
      </c>
      <c r="H103">
        <v>3</v>
      </c>
      <c r="I103">
        <v>1</v>
      </c>
      <c r="J103">
        <v>0.22</v>
      </c>
    </row>
    <row r="104" spans="1:10" x14ac:dyDescent="0.3">
      <c r="A104">
        <v>103</v>
      </c>
      <c r="B104" s="1">
        <v>40548</v>
      </c>
      <c r="C104">
        <v>1</v>
      </c>
      <c r="D104">
        <v>0</v>
      </c>
      <c r="E104">
        <v>1</v>
      </c>
      <c r="F104">
        <v>11</v>
      </c>
      <c r="G104" t="b">
        <v>0</v>
      </c>
      <c r="H104">
        <v>3</v>
      </c>
      <c r="I104">
        <v>1</v>
      </c>
      <c r="J104">
        <v>0.26</v>
      </c>
    </row>
    <row r="105" spans="1:10" x14ac:dyDescent="0.3">
      <c r="A105">
        <v>104</v>
      </c>
      <c r="B105" s="1">
        <v>40548</v>
      </c>
      <c r="C105">
        <v>1</v>
      </c>
      <c r="D105">
        <v>0</v>
      </c>
      <c r="E105">
        <v>1</v>
      </c>
      <c r="F105">
        <v>12</v>
      </c>
      <c r="G105" t="b">
        <v>0</v>
      </c>
      <c r="H105">
        <v>3</v>
      </c>
      <c r="I105">
        <v>1</v>
      </c>
      <c r="J105">
        <v>0.26</v>
      </c>
    </row>
    <row r="106" spans="1:10" x14ac:dyDescent="0.3">
      <c r="A106">
        <v>105</v>
      </c>
      <c r="B106" s="1">
        <v>40548</v>
      </c>
      <c r="C106">
        <v>1</v>
      </c>
      <c r="D106">
        <v>0</v>
      </c>
      <c r="E106">
        <v>1</v>
      </c>
      <c r="F106">
        <v>13</v>
      </c>
      <c r="G106" t="b">
        <v>0</v>
      </c>
      <c r="H106">
        <v>3</v>
      </c>
      <c r="I106">
        <v>1</v>
      </c>
      <c r="J106">
        <v>0.28000000000000003</v>
      </c>
    </row>
    <row r="107" spans="1:10" x14ac:dyDescent="0.3">
      <c r="A107">
        <v>106</v>
      </c>
      <c r="B107" s="1">
        <v>40548</v>
      </c>
      <c r="C107">
        <v>1</v>
      </c>
      <c r="D107">
        <v>0</v>
      </c>
      <c r="E107">
        <v>1</v>
      </c>
      <c r="F107">
        <v>14</v>
      </c>
      <c r="G107" t="b">
        <v>0</v>
      </c>
      <c r="H107">
        <v>3</v>
      </c>
      <c r="I107">
        <v>1</v>
      </c>
      <c r="J107">
        <v>0.3</v>
      </c>
    </row>
    <row r="108" spans="1:10" x14ac:dyDescent="0.3">
      <c r="A108">
        <v>107</v>
      </c>
      <c r="B108" s="1">
        <v>40548</v>
      </c>
      <c r="C108">
        <v>1</v>
      </c>
      <c r="D108">
        <v>0</v>
      </c>
      <c r="E108">
        <v>1</v>
      </c>
      <c r="F108">
        <v>15</v>
      </c>
      <c r="G108" t="b">
        <v>0</v>
      </c>
      <c r="H108">
        <v>3</v>
      </c>
      <c r="I108">
        <v>1</v>
      </c>
      <c r="J108">
        <v>0.3</v>
      </c>
    </row>
    <row r="109" spans="1:10" x14ac:dyDescent="0.3">
      <c r="A109">
        <v>108</v>
      </c>
      <c r="B109" s="1">
        <v>40548</v>
      </c>
      <c r="C109">
        <v>1</v>
      </c>
      <c r="D109">
        <v>0</v>
      </c>
      <c r="E109">
        <v>1</v>
      </c>
      <c r="F109">
        <v>16</v>
      </c>
      <c r="G109" t="b">
        <v>0</v>
      </c>
      <c r="H109">
        <v>3</v>
      </c>
      <c r="I109">
        <v>1</v>
      </c>
      <c r="J109">
        <v>0.3</v>
      </c>
    </row>
    <row r="110" spans="1:10" x14ac:dyDescent="0.3">
      <c r="A110">
        <v>109</v>
      </c>
      <c r="B110" s="1">
        <v>40548</v>
      </c>
      <c r="C110">
        <v>1</v>
      </c>
      <c r="D110">
        <v>0</v>
      </c>
      <c r="E110">
        <v>1</v>
      </c>
      <c r="F110">
        <v>17</v>
      </c>
      <c r="G110" t="b">
        <v>0</v>
      </c>
      <c r="H110">
        <v>3</v>
      </c>
      <c r="I110">
        <v>1</v>
      </c>
      <c r="J110">
        <v>0.24</v>
      </c>
    </row>
    <row r="111" spans="1:10" x14ac:dyDescent="0.3">
      <c r="A111">
        <v>110</v>
      </c>
      <c r="B111" s="1">
        <v>40548</v>
      </c>
      <c r="C111">
        <v>1</v>
      </c>
      <c r="D111">
        <v>0</v>
      </c>
      <c r="E111">
        <v>1</v>
      </c>
      <c r="F111">
        <v>18</v>
      </c>
      <c r="G111" t="b">
        <v>0</v>
      </c>
      <c r="H111">
        <v>3</v>
      </c>
      <c r="I111">
        <v>1</v>
      </c>
      <c r="J111">
        <v>0.24</v>
      </c>
    </row>
    <row r="112" spans="1:10" x14ac:dyDescent="0.3">
      <c r="A112">
        <v>111</v>
      </c>
      <c r="B112" s="1">
        <v>40548</v>
      </c>
      <c r="C112">
        <v>1</v>
      </c>
      <c r="D112">
        <v>0</v>
      </c>
      <c r="E112">
        <v>1</v>
      </c>
      <c r="F112">
        <v>19</v>
      </c>
      <c r="G112" t="b">
        <v>0</v>
      </c>
      <c r="H112">
        <v>3</v>
      </c>
      <c r="I112">
        <v>1</v>
      </c>
      <c r="J112">
        <v>0.24</v>
      </c>
    </row>
    <row r="113" spans="1:10" x14ac:dyDescent="0.3">
      <c r="A113">
        <v>112</v>
      </c>
      <c r="B113" s="1">
        <v>40548</v>
      </c>
      <c r="C113">
        <v>1</v>
      </c>
      <c r="D113">
        <v>0</v>
      </c>
      <c r="E113">
        <v>1</v>
      </c>
      <c r="F113">
        <v>20</v>
      </c>
      <c r="G113" t="b">
        <v>0</v>
      </c>
      <c r="H113">
        <v>3</v>
      </c>
      <c r="I113">
        <v>1</v>
      </c>
      <c r="J113">
        <v>0.22</v>
      </c>
    </row>
    <row r="114" spans="1:10" x14ac:dyDescent="0.3">
      <c r="A114">
        <v>113</v>
      </c>
      <c r="B114" s="1">
        <v>40548</v>
      </c>
      <c r="C114">
        <v>1</v>
      </c>
      <c r="D114">
        <v>0</v>
      </c>
      <c r="E114">
        <v>1</v>
      </c>
      <c r="F114">
        <v>21</v>
      </c>
      <c r="G114" t="b">
        <v>0</v>
      </c>
      <c r="H114">
        <v>3</v>
      </c>
      <c r="I114">
        <v>1</v>
      </c>
      <c r="J114">
        <v>0.2</v>
      </c>
    </row>
    <row r="115" spans="1:10" x14ac:dyDescent="0.3">
      <c r="A115">
        <v>114</v>
      </c>
      <c r="B115" s="1">
        <v>40548</v>
      </c>
      <c r="C115">
        <v>1</v>
      </c>
      <c r="D115">
        <v>0</v>
      </c>
      <c r="E115">
        <v>1</v>
      </c>
      <c r="F115">
        <v>22</v>
      </c>
      <c r="G115" t="b">
        <v>0</v>
      </c>
      <c r="H115">
        <v>3</v>
      </c>
      <c r="I115">
        <v>1</v>
      </c>
      <c r="J115">
        <v>0.18</v>
      </c>
    </row>
    <row r="116" spans="1:10" x14ac:dyDescent="0.3">
      <c r="A116">
        <v>115</v>
      </c>
      <c r="B116" s="1">
        <v>40548</v>
      </c>
      <c r="C116">
        <v>1</v>
      </c>
      <c r="D116">
        <v>0</v>
      </c>
      <c r="E116">
        <v>1</v>
      </c>
      <c r="F116">
        <v>23</v>
      </c>
      <c r="G116" t="b">
        <v>0</v>
      </c>
      <c r="H116">
        <v>3</v>
      </c>
      <c r="I116">
        <v>1</v>
      </c>
      <c r="J116">
        <v>0.2</v>
      </c>
    </row>
    <row r="117" spans="1:10" x14ac:dyDescent="0.3">
      <c r="A117">
        <v>116</v>
      </c>
      <c r="B117" s="1">
        <v>40549</v>
      </c>
      <c r="C117">
        <v>1</v>
      </c>
      <c r="D117">
        <v>0</v>
      </c>
      <c r="E117">
        <v>1</v>
      </c>
      <c r="F117">
        <v>0</v>
      </c>
      <c r="G117" t="b">
        <v>0</v>
      </c>
      <c r="H117">
        <v>4</v>
      </c>
      <c r="I117">
        <v>1</v>
      </c>
      <c r="J117">
        <v>0.18</v>
      </c>
    </row>
    <row r="118" spans="1:10" x14ac:dyDescent="0.3">
      <c r="A118">
        <v>117</v>
      </c>
      <c r="B118" s="1">
        <v>40549</v>
      </c>
      <c r="C118">
        <v>1</v>
      </c>
      <c r="D118">
        <v>0</v>
      </c>
      <c r="E118">
        <v>1</v>
      </c>
      <c r="F118">
        <v>1</v>
      </c>
      <c r="G118" t="b">
        <v>0</v>
      </c>
      <c r="H118">
        <v>4</v>
      </c>
      <c r="I118">
        <v>1</v>
      </c>
      <c r="J118">
        <v>0.16</v>
      </c>
    </row>
    <row r="119" spans="1:10" x14ac:dyDescent="0.3">
      <c r="A119">
        <v>118</v>
      </c>
      <c r="B119" s="1">
        <v>40549</v>
      </c>
      <c r="C119">
        <v>1</v>
      </c>
      <c r="D119">
        <v>0</v>
      </c>
      <c r="E119">
        <v>1</v>
      </c>
      <c r="F119">
        <v>2</v>
      </c>
      <c r="G119" t="b">
        <v>0</v>
      </c>
      <c r="H119">
        <v>4</v>
      </c>
      <c r="I119">
        <v>1</v>
      </c>
      <c r="J119">
        <v>0.16</v>
      </c>
    </row>
    <row r="120" spans="1:10" x14ac:dyDescent="0.3">
      <c r="A120">
        <v>119</v>
      </c>
      <c r="B120" s="1">
        <v>40549</v>
      </c>
      <c r="C120">
        <v>1</v>
      </c>
      <c r="D120">
        <v>0</v>
      </c>
      <c r="E120">
        <v>1</v>
      </c>
      <c r="F120">
        <v>4</v>
      </c>
      <c r="G120" t="b">
        <v>0</v>
      </c>
      <c r="H120">
        <v>4</v>
      </c>
      <c r="I120">
        <v>2</v>
      </c>
      <c r="J120">
        <v>0.16</v>
      </c>
    </row>
    <row r="121" spans="1:10" x14ac:dyDescent="0.3">
      <c r="A121">
        <v>120</v>
      </c>
      <c r="B121" s="1">
        <v>40549</v>
      </c>
      <c r="C121">
        <v>1</v>
      </c>
      <c r="D121">
        <v>0</v>
      </c>
      <c r="E121">
        <v>1</v>
      </c>
      <c r="F121">
        <v>5</v>
      </c>
      <c r="G121" t="b">
        <v>0</v>
      </c>
      <c r="H121">
        <v>4</v>
      </c>
      <c r="I121">
        <v>2</v>
      </c>
      <c r="J121">
        <v>0.14000000000000001</v>
      </c>
    </row>
    <row r="122" spans="1:10" x14ac:dyDescent="0.3">
      <c r="A122">
        <v>121</v>
      </c>
      <c r="B122" s="1">
        <v>40549</v>
      </c>
      <c r="C122">
        <v>1</v>
      </c>
      <c r="D122">
        <v>0</v>
      </c>
      <c r="E122">
        <v>1</v>
      </c>
      <c r="F122">
        <v>6</v>
      </c>
      <c r="G122" t="b">
        <v>0</v>
      </c>
      <c r="H122">
        <v>4</v>
      </c>
      <c r="I122">
        <v>2</v>
      </c>
      <c r="J122">
        <v>0.14000000000000001</v>
      </c>
    </row>
    <row r="123" spans="1:10" x14ac:dyDescent="0.3">
      <c r="A123">
        <v>122</v>
      </c>
      <c r="B123" s="1">
        <v>40549</v>
      </c>
      <c r="C123">
        <v>1</v>
      </c>
      <c r="D123">
        <v>0</v>
      </c>
      <c r="E123">
        <v>1</v>
      </c>
      <c r="F123">
        <v>7</v>
      </c>
      <c r="G123" t="b">
        <v>0</v>
      </c>
      <c r="H123">
        <v>4</v>
      </c>
      <c r="I123">
        <v>2</v>
      </c>
      <c r="J123">
        <v>0.16</v>
      </c>
    </row>
    <row r="124" spans="1:10" x14ac:dyDescent="0.3">
      <c r="A124">
        <v>123</v>
      </c>
      <c r="B124" s="1">
        <v>40549</v>
      </c>
      <c r="C124">
        <v>1</v>
      </c>
      <c r="D124">
        <v>0</v>
      </c>
      <c r="E124">
        <v>1</v>
      </c>
      <c r="F124">
        <v>8</v>
      </c>
      <c r="G124" t="b">
        <v>0</v>
      </c>
      <c r="H124">
        <v>4</v>
      </c>
      <c r="I124">
        <v>1</v>
      </c>
      <c r="J124">
        <v>0.16</v>
      </c>
    </row>
    <row r="125" spans="1:10" x14ac:dyDescent="0.3">
      <c r="A125">
        <v>124</v>
      </c>
      <c r="B125" s="1">
        <v>40549</v>
      </c>
      <c r="C125">
        <v>1</v>
      </c>
      <c r="D125">
        <v>0</v>
      </c>
      <c r="E125">
        <v>1</v>
      </c>
      <c r="F125">
        <v>9</v>
      </c>
      <c r="G125" t="b">
        <v>0</v>
      </c>
      <c r="H125">
        <v>4</v>
      </c>
      <c r="I125">
        <v>2</v>
      </c>
      <c r="J125">
        <v>0.18</v>
      </c>
    </row>
    <row r="126" spans="1:10" x14ac:dyDescent="0.3">
      <c r="A126">
        <v>125</v>
      </c>
      <c r="B126" s="1">
        <v>40549</v>
      </c>
      <c r="C126">
        <v>1</v>
      </c>
      <c r="D126">
        <v>0</v>
      </c>
      <c r="E126">
        <v>1</v>
      </c>
      <c r="F126">
        <v>10</v>
      </c>
      <c r="G126" t="b">
        <v>0</v>
      </c>
      <c r="H126">
        <v>4</v>
      </c>
      <c r="I126">
        <v>1</v>
      </c>
      <c r="J126">
        <v>0.2</v>
      </c>
    </row>
    <row r="127" spans="1:10" x14ac:dyDescent="0.3">
      <c r="A127">
        <v>126</v>
      </c>
      <c r="B127" s="1">
        <v>40549</v>
      </c>
      <c r="C127">
        <v>1</v>
      </c>
      <c r="D127">
        <v>0</v>
      </c>
      <c r="E127">
        <v>1</v>
      </c>
      <c r="F127">
        <v>11</v>
      </c>
      <c r="G127" t="b">
        <v>0</v>
      </c>
      <c r="H127">
        <v>4</v>
      </c>
      <c r="I127">
        <v>1</v>
      </c>
      <c r="J127">
        <v>0.22</v>
      </c>
    </row>
    <row r="128" spans="1:10" x14ac:dyDescent="0.3">
      <c r="A128">
        <v>127</v>
      </c>
      <c r="B128" s="1">
        <v>40549</v>
      </c>
      <c r="C128">
        <v>1</v>
      </c>
      <c r="D128">
        <v>0</v>
      </c>
      <c r="E128">
        <v>1</v>
      </c>
      <c r="F128">
        <v>12</v>
      </c>
      <c r="G128" t="b">
        <v>0</v>
      </c>
      <c r="H128">
        <v>4</v>
      </c>
      <c r="I128">
        <v>1</v>
      </c>
      <c r="J128">
        <v>0.26</v>
      </c>
    </row>
    <row r="129" spans="1:10" x14ac:dyDescent="0.3">
      <c r="A129">
        <v>128</v>
      </c>
      <c r="B129" s="1">
        <v>40549</v>
      </c>
      <c r="C129">
        <v>1</v>
      </c>
      <c r="D129">
        <v>0</v>
      </c>
      <c r="E129">
        <v>1</v>
      </c>
      <c r="F129">
        <v>13</v>
      </c>
      <c r="G129" t="b">
        <v>0</v>
      </c>
      <c r="H129">
        <v>4</v>
      </c>
      <c r="I129">
        <v>1</v>
      </c>
      <c r="J129">
        <v>0.26</v>
      </c>
    </row>
    <row r="130" spans="1:10" x14ac:dyDescent="0.3">
      <c r="A130">
        <v>129</v>
      </c>
      <c r="B130" s="1">
        <v>40549</v>
      </c>
      <c r="C130">
        <v>1</v>
      </c>
      <c r="D130">
        <v>0</v>
      </c>
      <c r="E130">
        <v>1</v>
      </c>
      <c r="F130">
        <v>14</v>
      </c>
      <c r="G130" t="b">
        <v>0</v>
      </c>
      <c r="H130">
        <v>4</v>
      </c>
      <c r="I130">
        <v>1</v>
      </c>
      <c r="J130">
        <v>0.28000000000000003</v>
      </c>
    </row>
    <row r="131" spans="1:10" x14ac:dyDescent="0.3">
      <c r="A131">
        <v>130</v>
      </c>
      <c r="B131" s="1">
        <v>40549</v>
      </c>
      <c r="C131">
        <v>1</v>
      </c>
      <c r="D131">
        <v>0</v>
      </c>
      <c r="E131">
        <v>1</v>
      </c>
      <c r="F131">
        <v>15</v>
      </c>
      <c r="G131" t="b">
        <v>0</v>
      </c>
      <c r="H131">
        <v>4</v>
      </c>
      <c r="I131">
        <v>1</v>
      </c>
      <c r="J131">
        <v>0.28000000000000003</v>
      </c>
    </row>
    <row r="132" spans="1:10" x14ac:dyDescent="0.3">
      <c r="A132">
        <v>131</v>
      </c>
      <c r="B132" s="1">
        <v>40549</v>
      </c>
      <c r="C132">
        <v>1</v>
      </c>
      <c r="D132">
        <v>0</v>
      </c>
      <c r="E132">
        <v>1</v>
      </c>
      <c r="F132">
        <v>16</v>
      </c>
      <c r="G132" t="b">
        <v>0</v>
      </c>
      <c r="H132">
        <v>4</v>
      </c>
      <c r="I132">
        <v>1</v>
      </c>
      <c r="J132">
        <v>0.26</v>
      </c>
    </row>
    <row r="133" spans="1:10" x14ac:dyDescent="0.3">
      <c r="A133">
        <v>132</v>
      </c>
      <c r="B133" s="1">
        <v>40549</v>
      </c>
      <c r="C133">
        <v>1</v>
      </c>
      <c r="D133">
        <v>0</v>
      </c>
      <c r="E133">
        <v>1</v>
      </c>
      <c r="F133">
        <v>17</v>
      </c>
      <c r="G133" t="b">
        <v>0</v>
      </c>
      <c r="H133">
        <v>4</v>
      </c>
      <c r="I133">
        <v>1</v>
      </c>
      <c r="J133">
        <v>0.22</v>
      </c>
    </row>
    <row r="134" spans="1:10" x14ac:dyDescent="0.3">
      <c r="A134">
        <v>133</v>
      </c>
      <c r="B134" s="1">
        <v>40549</v>
      </c>
      <c r="C134">
        <v>1</v>
      </c>
      <c r="D134">
        <v>0</v>
      </c>
      <c r="E134">
        <v>1</v>
      </c>
      <c r="F134">
        <v>18</v>
      </c>
      <c r="G134" t="b">
        <v>0</v>
      </c>
      <c r="H134">
        <v>4</v>
      </c>
      <c r="I134">
        <v>1</v>
      </c>
      <c r="J134">
        <v>0.22</v>
      </c>
    </row>
    <row r="135" spans="1:10" x14ac:dyDescent="0.3">
      <c r="A135">
        <v>134</v>
      </c>
      <c r="B135" s="1">
        <v>40549</v>
      </c>
      <c r="C135">
        <v>1</v>
      </c>
      <c r="D135">
        <v>0</v>
      </c>
      <c r="E135">
        <v>1</v>
      </c>
      <c r="F135">
        <v>19</v>
      </c>
      <c r="G135" t="b">
        <v>0</v>
      </c>
      <c r="H135">
        <v>4</v>
      </c>
      <c r="I135">
        <v>1</v>
      </c>
      <c r="J135">
        <v>0.22</v>
      </c>
    </row>
    <row r="136" spans="1:10" x14ac:dyDescent="0.3">
      <c r="A136">
        <v>135</v>
      </c>
      <c r="B136" s="1">
        <v>40549</v>
      </c>
      <c r="C136">
        <v>1</v>
      </c>
      <c r="D136">
        <v>0</v>
      </c>
      <c r="E136">
        <v>1</v>
      </c>
      <c r="F136">
        <v>20</v>
      </c>
      <c r="G136" t="b">
        <v>0</v>
      </c>
      <c r="H136">
        <v>4</v>
      </c>
      <c r="I136">
        <v>1</v>
      </c>
      <c r="J136">
        <v>0.2</v>
      </c>
    </row>
    <row r="137" spans="1:10" x14ac:dyDescent="0.3">
      <c r="A137">
        <v>136</v>
      </c>
      <c r="B137" s="1">
        <v>40549</v>
      </c>
      <c r="C137">
        <v>1</v>
      </c>
      <c r="D137">
        <v>0</v>
      </c>
      <c r="E137">
        <v>1</v>
      </c>
      <c r="F137">
        <v>21</v>
      </c>
      <c r="G137" t="b">
        <v>0</v>
      </c>
      <c r="H137">
        <v>4</v>
      </c>
      <c r="I137">
        <v>2</v>
      </c>
      <c r="J137">
        <v>0.22</v>
      </c>
    </row>
    <row r="138" spans="1:10" x14ac:dyDescent="0.3">
      <c r="A138">
        <v>137</v>
      </c>
      <c r="B138" s="1">
        <v>40549</v>
      </c>
      <c r="C138">
        <v>1</v>
      </c>
      <c r="D138">
        <v>0</v>
      </c>
      <c r="E138">
        <v>1</v>
      </c>
      <c r="F138">
        <v>22</v>
      </c>
      <c r="G138" t="b">
        <v>0</v>
      </c>
      <c r="H138">
        <v>4</v>
      </c>
      <c r="I138">
        <v>2</v>
      </c>
      <c r="J138">
        <v>0.22</v>
      </c>
    </row>
    <row r="139" spans="1:10" x14ac:dyDescent="0.3">
      <c r="A139">
        <v>138</v>
      </c>
      <c r="B139" s="1">
        <v>40549</v>
      </c>
      <c r="C139">
        <v>1</v>
      </c>
      <c r="D139">
        <v>0</v>
      </c>
      <c r="E139">
        <v>1</v>
      </c>
      <c r="F139">
        <v>23</v>
      </c>
      <c r="G139" t="b">
        <v>0</v>
      </c>
      <c r="H139">
        <v>4</v>
      </c>
      <c r="I139">
        <v>2</v>
      </c>
      <c r="J139">
        <v>0.2</v>
      </c>
    </row>
    <row r="140" spans="1:10" x14ac:dyDescent="0.3">
      <c r="A140">
        <v>139</v>
      </c>
      <c r="B140" s="1">
        <v>40550</v>
      </c>
      <c r="C140">
        <v>1</v>
      </c>
      <c r="D140">
        <v>0</v>
      </c>
      <c r="E140">
        <v>1</v>
      </c>
      <c r="F140">
        <v>0</v>
      </c>
      <c r="G140" t="b">
        <v>0</v>
      </c>
      <c r="H140">
        <v>5</v>
      </c>
      <c r="I140">
        <v>2</v>
      </c>
      <c r="J140">
        <v>0.2</v>
      </c>
    </row>
    <row r="141" spans="1:10" x14ac:dyDescent="0.3">
      <c r="A141">
        <v>140</v>
      </c>
      <c r="B141" s="1">
        <v>40550</v>
      </c>
      <c r="C141">
        <v>1</v>
      </c>
      <c r="D141">
        <v>0</v>
      </c>
      <c r="E141">
        <v>1</v>
      </c>
      <c r="F141">
        <v>1</v>
      </c>
      <c r="G141" t="b">
        <v>0</v>
      </c>
      <c r="H141">
        <v>5</v>
      </c>
      <c r="I141">
        <v>2</v>
      </c>
      <c r="J141">
        <v>0.2</v>
      </c>
    </row>
    <row r="142" spans="1:10" x14ac:dyDescent="0.3">
      <c r="A142">
        <v>141</v>
      </c>
      <c r="B142" s="1">
        <v>40550</v>
      </c>
      <c r="C142">
        <v>1</v>
      </c>
      <c r="D142">
        <v>0</v>
      </c>
      <c r="E142">
        <v>1</v>
      </c>
      <c r="F142">
        <v>2</v>
      </c>
      <c r="G142" t="b">
        <v>0</v>
      </c>
      <c r="H142">
        <v>5</v>
      </c>
      <c r="I142">
        <v>2</v>
      </c>
      <c r="J142">
        <v>0.2</v>
      </c>
    </row>
    <row r="143" spans="1:10" x14ac:dyDescent="0.3">
      <c r="A143">
        <v>142</v>
      </c>
      <c r="B143" s="1">
        <v>40550</v>
      </c>
      <c r="C143">
        <v>1</v>
      </c>
      <c r="D143">
        <v>0</v>
      </c>
      <c r="E143">
        <v>1</v>
      </c>
      <c r="F143">
        <v>4</v>
      </c>
      <c r="G143" t="b">
        <v>0</v>
      </c>
      <c r="H143">
        <v>5</v>
      </c>
      <c r="I143">
        <v>2</v>
      </c>
      <c r="J143">
        <v>0.2</v>
      </c>
    </row>
    <row r="144" spans="1:10" x14ac:dyDescent="0.3">
      <c r="A144">
        <v>143</v>
      </c>
      <c r="B144" s="1">
        <v>40550</v>
      </c>
      <c r="C144">
        <v>1</v>
      </c>
      <c r="D144">
        <v>0</v>
      </c>
      <c r="E144">
        <v>1</v>
      </c>
      <c r="F144">
        <v>5</v>
      </c>
      <c r="G144" t="b">
        <v>0</v>
      </c>
      <c r="H144">
        <v>5</v>
      </c>
      <c r="I144">
        <v>3</v>
      </c>
      <c r="J144">
        <v>0.22</v>
      </c>
    </row>
    <row r="145" spans="1:10" x14ac:dyDescent="0.3">
      <c r="A145">
        <v>144</v>
      </c>
      <c r="B145" s="1">
        <v>40550</v>
      </c>
      <c r="C145">
        <v>1</v>
      </c>
      <c r="D145">
        <v>0</v>
      </c>
      <c r="E145">
        <v>1</v>
      </c>
      <c r="F145">
        <v>6</v>
      </c>
      <c r="G145" t="b">
        <v>0</v>
      </c>
      <c r="H145">
        <v>5</v>
      </c>
      <c r="I145">
        <v>2</v>
      </c>
      <c r="J145">
        <v>0.2</v>
      </c>
    </row>
    <row r="146" spans="1:10" x14ac:dyDescent="0.3">
      <c r="A146">
        <v>145</v>
      </c>
      <c r="B146" s="1">
        <v>40550</v>
      </c>
      <c r="C146">
        <v>1</v>
      </c>
      <c r="D146">
        <v>0</v>
      </c>
      <c r="E146">
        <v>1</v>
      </c>
      <c r="F146">
        <v>7</v>
      </c>
      <c r="G146" t="b">
        <v>0</v>
      </c>
      <c r="H146">
        <v>5</v>
      </c>
      <c r="I146">
        <v>1</v>
      </c>
      <c r="J146">
        <v>0.2</v>
      </c>
    </row>
    <row r="147" spans="1:10" x14ac:dyDescent="0.3">
      <c r="A147">
        <v>146</v>
      </c>
      <c r="B147" s="1">
        <v>40550</v>
      </c>
      <c r="C147">
        <v>1</v>
      </c>
      <c r="D147">
        <v>0</v>
      </c>
      <c r="E147">
        <v>1</v>
      </c>
      <c r="F147">
        <v>8</v>
      </c>
      <c r="G147" t="b">
        <v>0</v>
      </c>
      <c r="H147">
        <v>5</v>
      </c>
      <c r="I147">
        <v>1</v>
      </c>
      <c r="J147">
        <v>0.2</v>
      </c>
    </row>
    <row r="148" spans="1:10" x14ac:dyDescent="0.3">
      <c r="A148">
        <v>147</v>
      </c>
      <c r="B148" s="1">
        <v>40550</v>
      </c>
      <c r="C148">
        <v>1</v>
      </c>
      <c r="D148">
        <v>0</v>
      </c>
      <c r="E148">
        <v>1</v>
      </c>
      <c r="F148">
        <v>9</v>
      </c>
      <c r="G148" t="b">
        <v>0</v>
      </c>
      <c r="H148">
        <v>5</v>
      </c>
      <c r="I148">
        <v>1</v>
      </c>
      <c r="J148">
        <v>0.2</v>
      </c>
    </row>
    <row r="149" spans="1:10" x14ac:dyDescent="0.3">
      <c r="A149">
        <v>148</v>
      </c>
      <c r="B149" s="1">
        <v>40550</v>
      </c>
      <c r="C149">
        <v>1</v>
      </c>
      <c r="D149">
        <v>0</v>
      </c>
      <c r="E149">
        <v>1</v>
      </c>
      <c r="F149">
        <v>10</v>
      </c>
      <c r="G149" t="b">
        <v>0</v>
      </c>
      <c r="H149">
        <v>5</v>
      </c>
      <c r="I149">
        <v>1</v>
      </c>
      <c r="J149">
        <v>0.22</v>
      </c>
    </row>
    <row r="150" spans="1:10" x14ac:dyDescent="0.3">
      <c r="A150">
        <v>149</v>
      </c>
      <c r="B150" s="1">
        <v>40550</v>
      </c>
      <c r="C150">
        <v>1</v>
      </c>
      <c r="D150">
        <v>0</v>
      </c>
      <c r="E150">
        <v>1</v>
      </c>
      <c r="F150">
        <v>11</v>
      </c>
      <c r="G150" t="b">
        <v>0</v>
      </c>
      <c r="H150">
        <v>5</v>
      </c>
      <c r="I150">
        <v>2</v>
      </c>
      <c r="J150">
        <v>0.2</v>
      </c>
    </row>
    <row r="151" spans="1:10" x14ac:dyDescent="0.3">
      <c r="A151">
        <v>150</v>
      </c>
      <c r="B151" s="1">
        <v>40550</v>
      </c>
      <c r="C151">
        <v>1</v>
      </c>
      <c r="D151">
        <v>0</v>
      </c>
      <c r="E151">
        <v>1</v>
      </c>
      <c r="F151">
        <v>12</v>
      </c>
      <c r="G151" t="b">
        <v>0</v>
      </c>
      <c r="H151">
        <v>5</v>
      </c>
      <c r="I151">
        <v>2</v>
      </c>
      <c r="J151">
        <v>0.2</v>
      </c>
    </row>
    <row r="152" spans="1:10" x14ac:dyDescent="0.3">
      <c r="A152">
        <v>151</v>
      </c>
      <c r="B152" s="1">
        <v>40550</v>
      </c>
      <c r="C152">
        <v>1</v>
      </c>
      <c r="D152">
        <v>0</v>
      </c>
      <c r="E152">
        <v>1</v>
      </c>
      <c r="F152">
        <v>13</v>
      </c>
      <c r="G152" t="b">
        <v>0</v>
      </c>
      <c r="H152">
        <v>5</v>
      </c>
      <c r="I152">
        <v>2</v>
      </c>
      <c r="J152">
        <v>0.2</v>
      </c>
    </row>
    <row r="153" spans="1:10" x14ac:dyDescent="0.3">
      <c r="A153">
        <v>152</v>
      </c>
      <c r="B153" s="1">
        <v>40550</v>
      </c>
      <c r="C153">
        <v>1</v>
      </c>
      <c r="D153">
        <v>0</v>
      </c>
      <c r="E153">
        <v>1</v>
      </c>
      <c r="F153">
        <v>14</v>
      </c>
      <c r="G153" t="b">
        <v>0</v>
      </c>
      <c r="H153">
        <v>5</v>
      </c>
      <c r="I153">
        <v>2</v>
      </c>
      <c r="J153">
        <v>0.2</v>
      </c>
    </row>
    <row r="154" spans="1:10" x14ac:dyDescent="0.3">
      <c r="A154">
        <v>153</v>
      </c>
      <c r="B154" s="1">
        <v>40550</v>
      </c>
      <c r="C154">
        <v>1</v>
      </c>
      <c r="D154">
        <v>0</v>
      </c>
      <c r="E154">
        <v>1</v>
      </c>
      <c r="F154">
        <v>15</v>
      </c>
      <c r="G154" t="b">
        <v>0</v>
      </c>
      <c r="H154">
        <v>5</v>
      </c>
      <c r="I154">
        <v>2</v>
      </c>
      <c r="J154">
        <v>0.2</v>
      </c>
    </row>
    <row r="155" spans="1:10" x14ac:dyDescent="0.3">
      <c r="A155">
        <v>154</v>
      </c>
      <c r="B155" s="1">
        <v>40550</v>
      </c>
      <c r="C155">
        <v>1</v>
      </c>
      <c r="D155">
        <v>0</v>
      </c>
      <c r="E155">
        <v>1</v>
      </c>
      <c r="F155">
        <v>16</v>
      </c>
      <c r="G155" t="b">
        <v>0</v>
      </c>
      <c r="H155">
        <v>5</v>
      </c>
      <c r="I155">
        <v>2</v>
      </c>
      <c r="J155">
        <v>0.2</v>
      </c>
    </row>
    <row r="156" spans="1:10" x14ac:dyDescent="0.3">
      <c r="A156">
        <v>155</v>
      </c>
      <c r="B156" s="1">
        <v>40550</v>
      </c>
      <c r="C156">
        <v>1</v>
      </c>
      <c r="D156">
        <v>0</v>
      </c>
      <c r="E156">
        <v>1</v>
      </c>
      <c r="F156">
        <v>17</v>
      </c>
      <c r="G156" t="b">
        <v>0</v>
      </c>
      <c r="H156">
        <v>5</v>
      </c>
      <c r="I156">
        <v>2</v>
      </c>
      <c r="J156">
        <v>0.2</v>
      </c>
    </row>
    <row r="157" spans="1:10" x14ac:dyDescent="0.3">
      <c r="A157">
        <v>156</v>
      </c>
      <c r="B157" s="1">
        <v>40550</v>
      </c>
      <c r="C157">
        <v>1</v>
      </c>
      <c r="D157">
        <v>0</v>
      </c>
      <c r="E157">
        <v>1</v>
      </c>
      <c r="F157">
        <v>18</v>
      </c>
      <c r="G157" t="b">
        <v>0</v>
      </c>
      <c r="H157">
        <v>5</v>
      </c>
      <c r="I157">
        <v>1</v>
      </c>
      <c r="J157">
        <v>0.2</v>
      </c>
    </row>
    <row r="158" spans="1:10" x14ac:dyDescent="0.3">
      <c r="A158">
        <v>157</v>
      </c>
      <c r="B158" s="1">
        <v>40550</v>
      </c>
      <c r="C158">
        <v>1</v>
      </c>
      <c r="D158">
        <v>0</v>
      </c>
      <c r="E158">
        <v>1</v>
      </c>
      <c r="F158">
        <v>19</v>
      </c>
      <c r="G158" t="b">
        <v>0</v>
      </c>
      <c r="H158">
        <v>5</v>
      </c>
      <c r="I158">
        <v>1</v>
      </c>
      <c r="J158">
        <v>0.16</v>
      </c>
    </row>
    <row r="159" spans="1:10" x14ac:dyDescent="0.3">
      <c r="A159">
        <v>158</v>
      </c>
      <c r="B159" s="1">
        <v>40550</v>
      </c>
      <c r="C159">
        <v>1</v>
      </c>
      <c r="D159">
        <v>0</v>
      </c>
      <c r="E159">
        <v>1</v>
      </c>
      <c r="F159">
        <v>20</v>
      </c>
      <c r="G159" t="b">
        <v>0</v>
      </c>
      <c r="H159">
        <v>5</v>
      </c>
      <c r="I159">
        <v>1</v>
      </c>
      <c r="J159">
        <v>0.18</v>
      </c>
    </row>
    <row r="160" spans="1:10" x14ac:dyDescent="0.3">
      <c r="A160">
        <v>159</v>
      </c>
      <c r="B160" s="1">
        <v>40550</v>
      </c>
      <c r="C160">
        <v>1</v>
      </c>
      <c r="D160">
        <v>0</v>
      </c>
      <c r="E160">
        <v>1</v>
      </c>
      <c r="F160">
        <v>21</v>
      </c>
      <c r="G160" t="b">
        <v>0</v>
      </c>
      <c r="H160">
        <v>5</v>
      </c>
      <c r="I160">
        <v>1</v>
      </c>
      <c r="J160">
        <v>0.18</v>
      </c>
    </row>
    <row r="161" spans="1:10" x14ac:dyDescent="0.3">
      <c r="A161">
        <v>160</v>
      </c>
      <c r="B161" s="1">
        <v>40550</v>
      </c>
      <c r="C161">
        <v>1</v>
      </c>
      <c r="D161">
        <v>0</v>
      </c>
      <c r="E161">
        <v>1</v>
      </c>
      <c r="F161">
        <v>22</v>
      </c>
      <c r="G161" t="b">
        <v>0</v>
      </c>
      <c r="H161">
        <v>5</v>
      </c>
      <c r="I161">
        <v>2</v>
      </c>
      <c r="J161">
        <v>0.18</v>
      </c>
    </row>
    <row r="162" spans="1:10" x14ac:dyDescent="0.3">
      <c r="A162">
        <v>161</v>
      </c>
      <c r="B162" s="1">
        <v>40550</v>
      </c>
      <c r="C162">
        <v>1</v>
      </c>
      <c r="D162">
        <v>0</v>
      </c>
      <c r="E162">
        <v>1</v>
      </c>
      <c r="F162">
        <v>23</v>
      </c>
      <c r="G162" t="b">
        <v>0</v>
      </c>
      <c r="H162">
        <v>5</v>
      </c>
      <c r="I162">
        <v>2</v>
      </c>
      <c r="J162">
        <v>0.18</v>
      </c>
    </row>
    <row r="163" spans="1:10" x14ac:dyDescent="0.3">
      <c r="A163">
        <v>162</v>
      </c>
      <c r="B163" s="1">
        <v>40551</v>
      </c>
      <c r="C163">
        <v>1</v>
      </c>
      <c r="D163">
        <v>0</v>
      </c>
      <c r="E163">
        <v>1</v>
      </c>
      <c r="F163">
        <v>0</v>
      </c>
      <c r="G163" t="b">
        <v>0</v>
      </c>
      <c r="H163">
        <v>6</v>
      </c>
      <c r="I163">
        <v>2</v>
      </c>
      <c r="J163">
        <v>0.18</v>
      </c>
    </row>
    <row r="164" spans="1:10" x14ac:dyDescent="0.3">
      <c r="A164">
        <v>163</v>
      </c>
      <c r="B164" s="1">
        <v>40551</v>
      </c>
      <c r="C164">
        <v>1</v>
      </c>
      <c r="D164">
        <v>0</v>
      </c>
      <c r="E164">
        <v>1</v>
      </c>
      <c r="F164">
        <v>1</v>
      </c>
      <c r="G164" t="b">
        <v>0</v>
      </c>
      <c r="H164">
        <v>6</v>
      </c>
      <c r="I164">
        <v>2</v>
      </c>
      <c r="J164">
        <v>0.18</v>
      </c>
    </row>
    <row r="165" spans="1:10" x14ac:dyDescent="0.3">
      <c r="A165">
        <v>164</v>
      </c>
      <c r="B165" s="1">
        <v>40551</v>
      </c>
      <c r="C165">
        <v>1</v>
      </c>
      <c r="D165">
        <v>0</v>
      </c>
      <c r="E165">
        <v>1</v>
      </c>
      <c r="F165">
        <v>2</v>
      </c>
      <c r="G165" t="b">
        <v>0</v>
      </c>
      <c r="H165">
        <v>6</v>
      </c>
      <c r="I165">
        <v>2</v>
      </c>
      <c r="J165">
        <v>0.18</v>
      </c>
    </row>
    <row r="166" spans="1:10" x14ac:dyDescent="0.3">
      <c r="A166">
        <v>165</v>
      </c>
      <c r="B166" s="1">
        <v>40551</v>
      </c>
      <c r="C166">
        <v>1</v>
      </c>
      <c r="D166">
        <v>0</v>
      </c>
      <c r="E166">
        <v>1</v>
      </c>
      <c r="F166">
        <v>3</v>
      </c>
      <c r="G166" t="b">
        <v>0</v>
      </c>
      <c r="H166">
        <v>6</v>
      </c>
      <c r="I166">
        <v>3</v>
      </c>
      <c r="J166">
        <v>0.18</v>
      </c>
    </row>
    <row r="167" spans="1:10" x14ac:dyDescent="0.3">
      <c r="A167">
        <v>166</v>
      </c>
      <c r="B167" s="1">
        <v>40551</v>
      </c>
      <c r="C167">
        <v>1</v>
      </c>
      <c r="D167">
        <v>0</v>
      </c>
      <c r="E167">
        <v>1</v>
      </c>
      <c r="F167">
        <v>4</v>
      </c>
      <c r="G167" t="b">
        <v>0</v>
      </c>
      <c r="H167">
        <v>6</v>
      </c>
      <c r="I167">
        <v>3</v>
      </c>
      <c r="J167">
        <v>0.18</v>
      </c>
    </row>
    <row r="168" spans="1:10" x14ac:dyDescent="0.3">
      <c r="A168">
        <v>167</v>
      </c>
      <c r="B168" s="1">
        <v>40551</v>
      </c>
      <c r="C168">
        <v>1</v>
      </c>
      <c r="D168">
        <v>0</v>
      </c>
      <c r="E168">
        <v>1</v>
      </c>
      <c r="F168">
        <v>5</v>
      </c>
      <c r="G168" t="b">
        <v>0</v>
      </c>
      <c r="H168">
        <v>6</v>
      </c>
      <c r="I168">
        <v>2</v>
      </c>
      <c r="J168">
        <v>0.16</v>
      </c>
    </row>
    <row r="169" spans="1:10" x14ac:dyDescent="0.3">
      <c r="A169">
        <v>168</v>
      </c>
      <c r="B169" s="1">
        <v>40551</v>
      </c>
      <c r="C169">
        <v>1</v>
      </c>
      <c r="D169">
        <v>0</v>
      </c>
      <c r="E169">
        <v>1</v>
      </c>
      <c r="F169">
        <v>6</v>
      </c>
      <c r="G169" t="b">
        <v>0</v>
      </c>
      <c r="H169">
        <v>6</v>
      </c>
      <c r="I169">
        <v>2</v>
      </c>
      <c r="J169">
        <v>0.16</v>
      </c>
    </row>
    <row r="170" spans="1:10" x14ac:dyDescent="0.3">
      <c r="A170">
        <v>169</v>
      </c>
      <c r="B170" s="1">
        <v>40551</v>
      </c>
      <c r="C170">
        <v>1</v>
      </c>
      <c r="D170">
        <v>0</v>
      </c>
      <c r="E170">
        <v>1</v>
      </c>
      <c r="F170">
        <v>7</v>
      </c>
      <c r="G170" t="b">
        <v>0</v>
      </c>
      <c r="H170">
        <v>6</v>
      </c>
      <c r="I170">
        <v>2</v>
      </c>
      <c r="J170">
        <v>0.16</v>
      </c>
    </row>
    <row r="171" spans="1:10" x14ac:dyDescent="0.3">
      <c r="A171">
        <v>170</v>
      </c>
      <c r="B171" s="1">
        <v>40551</v>
      </c>
      <c r="C171">
        <v>1</v>
      </c>
      <c r="D171">
        <v>0</v>
      </c>
      <c r="E171">
        <v>1</v>
      </c>
      <c r="F171">
        <v>8</v>
      </c>
      <c r="G171" t="b">
        <v>0</v>
      </c>
      <c r="H171">
        <v>6</v>
      </c>
      <c r="I171">
        <v>3</v>
      </c>
      <c r="J171">
        <v>0.16</v>
      </c>
    </row>
    <row r="172" spans="1:10" x14ac:dyDescent="0.3">
      <c r="A172">
        <v>171</v>
      </c>
      <c r="B172" s="1">
        <v>40551</v>
      </c>
      <c r="C172">
        <v>1</v>
      </c>
      <c r="D172">
        <v>0</v>
      </c>
      <c r="E172">
        <v>1</v>
      </c>
      <c r="F172">
        <v>9</v>
      </c>
      <c r="G172" t="b">
        <v>0</v>
      </c>
      <c r="H172">
        <v>6</v>
      </c>
      <c r="I172">
        <v>3</v>
      </c>
      <c r="J172">
        <v>0.16</v>
      </c>
    </row>
    <row r="173" spans="1:10" x14ac:dyDescent="0.3">
      <c r="A173">
        <v>172</v>
      </c>
      <c r="B173" s="1">
        <v>40551</v>
      </c>
      <c r="C173">
        <v>1</v>
      </c>
      <c r="D173">
        <v>0</v>
      </c>
      <c r="E173">
        <v>1</v>
      </c>
      <c r="F173">
        <v>10</v>
      </c>
      <c r="G173" t="b">
        <v>0</v>
      </c>
      <c r="H173">
        <v>6</v>
      </c>
      <c r="I173">
        <v>2</v>
      </c>
      <c r="J173">
        <v>0.18</v>
      </c>
    </row>
    <row r="174" spans="1:10" x14ac:dyDescent="0.3">
      <c r="A174">
        <v>173</v>
      </c>
      <c r="B174" s="1">
        <v>40551</v>
      </c>
      <c r="C174">
        <v>1</v>
      </c>
      <c r="D174">
        <v>0</v>
      </c>
      <c r="E174">
        <v>1</v>
      </c>
      <c r="F174">
        <v>11</v>
      </c>
      <c r="G174" t="b">
        <v>0</v>
      </c>
      <c r="H174">
        <v>6</v>
      </c>
      <c r="I174">
        <v>2</v>
      </c>
      <c r="J174">
        <v>0.2</v>
      </c>
    </row>
    <row r="175" spans="1:10" x14ac:dyDescent="0.3">
      <c r="A175">
        <v>174</v>
      </c>
      <c r="B175" s="1">
        <v>40551</v>
      </c>
      <c r="C175">
        <v>1</v>
      </c>
      <c r="D175">
        <v>0</v>
      </c>
      <c r="E175">
        <v>1</v>
      </c>
      <c r="F175">
        <v>12</v>
      </c>
      <c r="G175" t="b">
        <v>0</v>
      </c>
      <c r="H175">
        <v>6</v>
      </c>
      <c r="I175">
        <v>2</v>
      </c>
      <c r="J175">
        <v>0.2</v>
      </c>
    </row>
    <row r="176" spans="1:10" x14ac:dyDescent="0.3">
      <c r="A176">
        <v>175</v>
      </c>
      <c r="B176" s="1">
        <v>40551</v>
      </c>
      <c r="C176">
        <v>1</v>
      </c>
      <c r="D176">
        <v>0</v>
      </c>
      <c r="E176">
        <v>1</v>
      </c>
      <c r="F176">
        <v>13</v>
      </c>
      <c r="G176" t="b">
        <v>0</v>
      </c>
      <c r="H176">
        <v>6</v>
      </c>
      <c r="I176">
        <v>1</v>
      </c>
      <c r="J176">
        <v>0.2</v>
      </c>
    </row>
    <row r="177" spans="1:10" x14ac:dyDescent="0.3">
      <c r="A177">
        <v>176</v>
      </c>
      <c r="B177" s="1">
        <v>40551</v>
      </c>
      <c r="C177">
        <v>1</v>
      </c>
      <c r="D177">
        <v>0</v>
      </c>
      <c r="E177">
        <v>1</v>
      </c>
      <c r="F177">
        <v>14</v>
      </c>
      <c r="G177" t="b">
        <v>0</v>
      </c>
      <c r="H177">
        <v>6</v>
      </c>
      <c r="I177">
        <v>1</v>
      </c>
      <c r="J177">
        <v>0.2</v>
      </c>
    </row>
    <row r="178" spans="1:10" x14ac:dyDescent="0.3">
      <c r="A178">
        <v>177</v>
      </c>
      <c r="B178" s="1">
        <v>40551</v>
      </c>
      <c r="C178">
        <v>1</v>
      </c>
      <c r="D178">
        <v>0</v>
      </c>
      <c r="E178">
        <v>1</v>
      </c>
      <c r="F178">
        <v>15</v>
      </c>
      <c r="G178" t="b">
        <v>0</v>
      </c>
      <c r="H178">
        <v>6</v>
      </c>
      <c r="I178">
        <v>1</v>
      </c>
      <c r="J178">
        <v>0.2</v>
      </c>
    </row>
    <row r="179" spans="1:10" x14ac:dyDescent="0.3">
      <c r="A179">
        <v>178</v>
      </c>
      <c r="B179" s="1">
        <v>40551</v>
      </c>
      <c r="C179">
        <v>1</v>
      </c>
      <c r="D179">
        <v>0</v>
      </c>
      <c r="E179">
        <v>1</v>
      </c>
      <c r="F179">
        <v>16</v>
      </c>
      <c r="G179" t="b">
        <v>0</v>
      </c>
      <c r="H179">
        <v>6</v>
      </c>
      <c r="I179">
        <v>1</v>
      </c>
      <c r="J179">
        <v>0.18</v>
      </c>
    </row>
    <row r="180" spans="1:10" x14ac:dyDescent="0.3">
      <c r="A180">
        <v>179</v>
      </c>
      <c r="B180" s="1">
        <v>40551</v>
      </c>
      <c r="C180">
        <v>1</v>
      </c>
      <c r="D180">
        <v>0</v>
      </c>
      <c r="E180">
        <v>1</v>
      </c>
      <c r="F180">
        <v>17</v>
      </c>
      <c r="G180" t="b">
        <v>0</v>
      </c>
      <c r="H180">
        <v>6</v>
      </c>
      <c r="I180">
        <v>1</v>
      </c>
      <c r="J180">
        <v>0.16</v>
      </c>
    </row>
    <row r="181" spans="1:10" x14ac:dyDescent="0.3">
      <c r="A181">
        <v>180</v>
      </c>
      <c r="B181" s="1">
        <v>40551</v>
      </c>
      <c r="C181">
        <v>1</v>
      </c>
      <c r="D181">
        <v>0</v>
      </c>
      <c r="E181">
        <v>1</v>
      </c>
      <c r="F181">
        <v>18</v>
      </c>
      <c r="G181" t="b">
        <v>0</v>
      </c>
      <c r="H181">
        <v>6</v>
      </c>
      <c r="I181">
        <v>1</v>
      </c>
      <c r="J181">
        <v>0.14000000000000001</v>
      </c>
    </row>
    <row r="182" spans="1:10" x14ac:dyDescent="0.3">
      <c r="A182">
        <v>181</v>
      </c>
      <c r="B182" s="1">
        <v>40551</v>
      </c>
      <c r="C182">
        <v>1</v>
      </c>
      <c r="D182">
        <v>0</v>
      </c>
      <c r="E182">
        <v>1</v>
      </c>
      <c r="F182">
        <v>19</v>
      </c>
      <c r="G182" t="b">
        <v>0</v>
      </c>
      <c r="H182">
        <v>6</v>
      </c>
      <c r="I182">
        <v>1</v>
      </c>
      <c r="J182">
        <v>0.14000000000000001</v>
      </c>
    </row>
    <row r="183" spans="1:10" x14ac:dyDescent="0.3">
      <c r="A183">
        <v>182</v>
      </c>
      <c r="B183" s="1">
        <v>40551</v>
      </c>
      <c r="C183">
        <v>1</v>
      </c>
      <c r="D183">
        <v>0</v>
      </c>
      <c r="E183">
        <v>1</v>
      </c>
      <c r="F183">
        <v>20</v>
      </c>
      <c r="G183" t="b">
        <v>0</v>
      </c>
      <c r="H183">
        <v>6</v>
      </c>
      <c r="I183">
        <v>1</v>
      </c>
      <c r="J183">
        <v>0.12</v>
      </c>
    </row>
    <row r="184" spans="1:10" x14ac:dyDescent="0.3">
      <c r="A184">
        <v>183</v>
      </c>
      <c r="B184" s="1">
        <v>40551</v>
      </c>
      <c r="C184">
        <v>1</v>
      </c>
      <c r="D184">
        <v>0</v>
      </c>
      <c r="E184">
        <v>1</v>
      </c>
      <c r="F184">
        <v>21</v>
      </c>
      <c r="G184" t="b">
        <v>0</v>
      </c>
      <c r="H184">
        <v>6</v>
      </c>
      <c r="I184">
        <v>1</v>
      </c>
      <c r="J184">
        <v>0.12</v>
      </c>
    </row>
    <row r="185" spans="1:10" x14ac:dyDescent="0.3">
      <c r="A185">
        <v>184</v>
      </c>
      <c r="B185" s="1">
        <v>40551</v>
      </c>
      <c r="C185">
        <v>1</v>
      </c>
      <c r="D185">
        <v>0</v>
      </c>
      <c r="E185">
        <v>1</v>
      </c>
      <c r="F185">
        <v>22</v>
      </c>
      <c r="G185" t="b">
        <v>0</v>
      </c>
      <c r="H185">
        <v>6</v>
      </c>
      <c r="I185">
        <v>1</v>
      </c>
      <c r="J185">
        <v>0.12</v>
      </c>
    </row>
    <row r="186" spans="1:10" x14ac:dyDescent="0.3">
      <c r="A186">
        <v>185</v>
      </c>
      <c r="B186" s="1">
        <v>40551</v>
      </c>
      <c r="C186">
        <v>1</v>
      </c>
      <c r="D186">
        <v>0</v>
      </c>
      <c r="E186">
        <v>1</v>
      </c>
      <c r="F186">
        <v>23</v>
      </c>
      <c r="G186" t="b">
        <v>0</v>
      </c>
      <c r="H186">
        <v>6</v>
      </c>
      <c r="I186">
        <v>1</v>
      </c>
      <c r="J186">
        <v>0.1</v>
      </c>
    </row>
    <row r="187" spans="1:10" x14ac:dyDescent="0.3">
      <c r="A187">
        <v>186</v>
      </c>
      <c r="B187" s="1">
        <v>40552</v>
      </c>
      <c r="C187">
        <v>1</v>
      </c>
      <c r="D187">
        <v>0</v>
      </c>
      <c r="E187">
        <v>1</v>
      </c>
      <c r="F187">
        <v>0</v>
      </c>
      <c r="G187" t="b">
        <v>0</v>
      </c>
      <c r="H187">
        <v>0</v>
      </c>
      <c r="I187">
        <v>1</v>
      </c>
      <c r="J187">
        <v>0.1</v>
      </c>
    </row>
    <row r="188" spans="1:10" x14ac:dyDescent="0.3">
      <c r="A188">
        <v>187</v>
      </c>
      <c r="B188" s="1">
        <v>40552</v>
      </c>
      <c r="C188">
        <v>1</v>
      </c>
      <c r="D188">
        <v>0</v>
      </c>
      <c r="E188">
        <v>1</v>
      </c>
      <c r="F188">
        <v>1</v>
      </c>
      <c r="G188" t="b">
        <v>0</v>
      </c>
      <c r="H188">
        <v>0</v>
      </c>
      <c r="I188">
        <v>1</v>
      </c>
      <c r="J188">
        <v>0.1</v>
      </c>
    </row>
    <row r="189" spans="1:10" x14ac:dyDescent="0.3">
      <c r="A189">
        <v>188</v>
      </c>
      <c r="B189" s="1">
        <v>40552</v>
      </c>
      <c r="C189">
        <v>1</v>
      </c>
      <c r="D189">
        <v>0</v>
      </c>
      <c r="E189">
        <v>1</v>
      </c>
      <c r="F189">
        <v>2</v>
      </c>
      <c r="G189" t="b">
        <v>0</v>
      </c>
      <c r="H189">
        <v>0</v>
      </c>
      <c r="I189">
        <v>1</v>
      </c>
      <c r="J189">
        <v>0.1</v>
      </c>
    </row>
    <row r="190" spans="1:10" x14ac:dyDescent="0.3">
      <c r="A190">
        <v>189</v>
      </c>
      <c r="B190" s="1">
        <v>40552</v>
      </c>
      <c r="C190">
        <v>1</v>
      </c>
      <c r="D190">
        <v>0</v>
      </c>
      <c r="E190">
        <v>1</v>
      </c>
      <c r="F190">
        <v>3</v>
      </c>
      <c r="G190" t="b">
        <v>0</v>
      </c>
      <c r="H190">
        <v>0</v>
      </c>
      <c r="I190">
        <v>1</v>
      </c>
      <c r="J190">
        <v>0.1</v>
      </c>
    </row>
    <row r="191" spans="1:10" x14ac:dyDescent="0.3">
      <c r="A191">
        <v>190</v>
      </c>
      <c r="B191" s="1">
        <v>40552</v>
      </c>
      <c r="C191">
        <v>1</v>
      </c>
      <c r="D191">
        <v>0</v>
      </c>
      <c r="E191">
        <v>1</v>
      </c>
      <c r="F191">
        <v>4</v>
      </c>
      <c r="G191" t="b">
        <v>0</v>
      </c>
      <c r="H191">
        <v>0</v>
      </c>
      <c r="I191">
        <v>1</v>
      </c>
      <c r="J191">
        <v>0.08</v>
      </c>
    </row>
    <row r="192" spans="1:10" x14ac:dyDescent="0.3">
      <c r="A192">
        <v>191</v>
      </c>
      <c r="B192" s="1">
        <v>40552</v>
      </c>
      <c r="C192">
        <v>1</v>
      </c>
      <c r="D192">
        <v>0</v>
      </c>
      <c r="E192">
        <v>1</v>
      </c>
      <c r="F192">
        <v>5</v>
      </c>
      <c r="G192" t="b">
        <v>0</v>
      </c>
      <c r="H192">
        <v>0</v>
      </c>
      <c r="I192">
        <v>1</v>
      </c>
      <c r="J192">
        <v>0.08</v>
      </c>
    </row>
    <row r="193" spans="1:10" x14ac:dyDescent="0.3">
      <c r="A193">
        <v>192</v>
      </c>
      <c r="B193" s="1">
        <v>40552</v>
      </c>
      <c r="C193">
        <v>1</v>
      </c>
      <c r="D193">
        <v>0</v>
      </c>
      <c r="E193">
        <v>1</v>
      </c>
      <c r="F193">
        <v>6</v>
      </c>
      <c r="G193" t="b">
        <v>0</v>
      </c>
      <c r="H193">
        <v>0</v>
      </c>
      <c r="I193">
        <v>1</v>
      </c>
      <c r="J193">
        <v>0.1</v>
      </c>
    </row>
    <row r="194" spans="1:10" x14ac:dyDescent="0.3">
      <c r="A194">
        <v>193</v>
      </c>
      <c r="B194" s="1">
        <v>40552</v>
      </c>
      <c r="C194">
        <v>1</v>
      </c>
      <c r="D194">
        <v>0</v>
      </c>
      <c r="E194">
        <v>1</v>
      </c>
      <c r="F194">
        <v>7</v>
      </c>
      <c r="G194" t="b">
        <v>0</v>
      </c>
      <c r="H194">
        <v>0</v>
      </c>
      <c r="I194">
        <v>1</v>
      </c>
      <c r="J194">
        <v>0.08</v>
      </c>
    </row>
    <row r="195" spans="1:10" x14ac:dyDescent="0.3">
      <c r="A195">
        <v>194</v>
      </c>
      <c r="B195" s="1">
        <v>40552</v>
      </c>
      <c r="C195">
        <v>1</v>
      </c>
      <c r="D195">
        <v>0</v>
      </c>
      <c r="E195">
        <v>1</v>
      </c>
      <c r="F195">
        <v>8</v>
      </c>
      <c r="G195" t="b">
        <v>0</v>
      </c>
      <c r="H195">
        <v>0</v>
      </c>
      <c r="I195">
        <v>1</v>
      </c>
      <c r="J195">
        <v>0.1</v>
      </c>
    </row>
    <row r="196" spans="1:10" x14ac:dyDescent="0.3">
      <c r="A196">
        <v>195</v>
      </c>
      <c r="B196" s="1">
        <v>40552</v>
      </c>
      <c r="C196">
        <v>1</v>
      </c>
      <c r="D196">
        <v>0</v>
      </c>
      <c r="E196">
        <v>1</v>
      </c>
      <c r="F196">
        <v>9</v>
      </c>
      <c r="G196" t="b">
        <v>0</v>
      </c>
      <c r="H196">
        <v>0</v>
      </c>
      <c r="I196">
        <v>1</v>
      </c>
      <c r="J196">
        <v>0.12</v>
      </c>
    </row>
    <row r="197" spans="1:10" x14ac:dyDescent="0.3">
      <c r="A197">
        <v>196</v>
      </c>
      <c r="B197" s="1">
        <v>40552</v>
      </c>
      <c r="C197">
        <v>1</v>
      </c>
      <c r="D197">
        <v>0</v>
      </c>
      <c r="E197">
        <v>1</v>
      </c>
      <c r="F197">
        <v>10</v>
      </c>
      <c r="G197" t="b">
        <v>0</v>
      </c>
      <c r="H197">
        <v>0</v>
      </c>
      <c r="I197">
        <v>1</v>
      </c>
      <c r="J197">
        <v>0.14000000000000001</v>
      </c>
    </row>
    <row r="198" spans="1:10" x14ac:dyDescent="0.3">
      <c r="A198">
        <v>197</v>
      </c>
      <c r="B198" s="1">
        <v>40552</v>
      </c>
      <c r="C198">
        <v>1</v>
      </c>
      <c r="D198">
        <v>0</v>
      </c>
      <c r="E198">
        <v>1</v>
      </c>
      <c r="F198">
        <v>11</v>
      </c>
      <c r="G198" t="b">
        <v>0</v>
      </c>
      <c r="H198">
        <v>0</v>
      </c>
      <c r="I198">
        <v>1</v>
      </c>
      <c r="J198">
        <v>0.16</v>
      </c>
    </row>
    <row r="199" spans="1:10" x14ac:dyDescent="0.3">
      <c r="A199">
        <v>198</v>
      </c>
      <c r="B199" s="1">
        <v>40552</v>
      </c>
      <c r="C199">
        <v>1</v>
      </c>
      <c r="D199">
        <v>0</v>
      </c>
      <c r="E199">
        <v>1</v>
      </c>
      <c r="F199">
        <v>12</v>
      </c>
      <c r="G199" t="b">
        <v>0</v>
      </c>
      <c r="H199">
        <v>0</v>
      </c>
      <c r="I199">
        <v>1</v>
      </c>
      <c r="J199">
        <v>0.18</v>
      </c>
    </row>
    <row r="200" spans="1:10" x14ac:dyDescent="0.3">
      <c r="A200">
        <v>199</v>
      </c>
      <c r="B200" s="1">
        <v>40552</v>
      </c>
      <c r="C200">
        <v>1</v>
      </c>
      <c r="D200">
        <v>0</v>
      </c>
      <c r="E200">
        <v>1</v>
      </c>
      <c r="F200">
        <v>13</v>
      </c>
      <c r="G200" t="b">
        <v>0</v>
      </c>
      <c r="H200">
        <v>0</v>
      </c>
      <c r="I200">
        <v>1</v>
      </c>
      <c r="J200">
        <v>0.2</v>
      </c>
    </row>
    <row r="201" spans="1:10" x14ac:dyDescent="0.3">
      <c r="A201">
        <v>200</v>
      </c>
      <c r="B201" s="1">
        <v>40552</v>
      </c>
      <c r="C201">
        <v>1</v>
      </c>
      <c r="D201">
        <v>0</v>
      </c>
      <c r="E201">
        <v>1</v>
      </c>
      <c r="F201">
        <v>14</v>
      </c>
      <c r="G201" t="b">
        <v>0</v>
      </c>
      <c r="H201">
        <v>0</v>
      </c>
      <c r="I201">
        <v>1</v>
      </c>
      <c r="J201">
        <v>0.22</v>
      </c>
    </row>
    <row r="202" spans="1:10" x14ac:dyDescent="0.3">
      <c r="A202">
        <v>201</v>
      </c>
      <c r="B202" s="1">
        <v>40552</v>
      </c>
      <c r="C202">
        <v>1</v>
      </c>
      <c r="D202">
        <v>0</v>
      </c>
      <c r="E202">
        <v>1</v>
      </c>
      <c r="F202">
        <v>15</v>
      </c>
      <c r="G202" t="b">
        <v>0</v>
      </c>
      <c r="H202">
        <v>0</v>
      </c>
      <c r="I202">
        <v>1</v>
      </c>
      <c r="J202">
        <v>0.22</v>
      </c>
    </row>
    <row r="203" spans="1:10" x14ac:dyDescent="0.3">
      <c r="A203">
        <v>202</v>
      </c>
      <c r="B203" s="1">
        <v>40552</v>
      </c>
      <c r="C203">
        <v>1</v>
      </c>
      <c r="D203">
        <v>0</v>
      </c>
      <c r="E203">
        <v>1</v>
      </c>
      <c r="F203">
        <v>16</v>
      </c>
      <c r="G203" t="b">
        <v>0</v>
      </c>
      <c r="H203">
        <v>0</v>
      </c>
      <c r="I203">
        <v>1</v>
      </c>
      <c r="J203">
        <v>0.2</v>
      </c>
    </row>
    <row r="204" spans="1:10" x14ac:dyDescent="0.3">
      <c r="A204">
        <v>203</v>
      </c>
      <c r="B204" s="1">
        <v>40552</v>
      </c>
      <c r="C204">
        <v>1</v>
      </c>
      <c r="D204">
        <v>0</v>
      </c>
      <c r="E204">
        <v>1</v>
      </c>
      <c r="F204">
        <v>17</v>
      </c>
      <c r="G204" t="b">
        <v>0</v>
      </c>
      <c r="H204">
        <v>0</v>
      </c>
      <c r="I204">
        <v>1</v>
      </c>
      <c r="J204">
        <v>0.18</v>
      </c>
    </row>
    <row r="205" spans="1:10" x14ac:dyDescent="0.3">
      <c r="A205">
        <v>204</v>
      </c>
      <c r="B205" s="1">
        <v>40552</v>
      </c>
      <c r="C205">
        <v>1</v>
      </c>
      <c r="D205">
        <v>0</v>
      </c>
      <c r="E205">
        <v>1</v>
      </c>
      <c r="F205">
        <v>18</v>
      </c>
      <c r="G205" t="b">
        <v>0</v>
      </c>
      <c r="H205">
        <v>0</v>
      </c>
      <c r="I205">
        <v>1</v>
      </c>
      <c r="J205">
        <v>0.16</v>
      </c>
    </row>
    <row r="206" spans="1:10" x14ac:dyDescent="0.3">
      <c r="A206">
        <v>205</v>
      </c>
      <c r="B206" s="1">
        <v>40552</v>
      </c>
      <c r="C206">
        <v>1</v>
      </c>
      <c r="D206">
        <v>0</v>
      </c>
      <c r="E206">
        <v>1</v>
      </c>
      <c r="F206">
        <v>19</v>
      </c>
      <c r="G206" t="b">
        <v>0</v>
      </c>
      <c r="H206">
        <v>0</v>
      </c>
      <c r="I206">
        <v>1</v>
      </c>
      <c r="J206">
        <v>0.16</v>
      </c>
    </row>
    <row r="207" spans="1:10" x14ac:dyDescent="0.3">
      <c r="A207">
        <v>206</v>
      </c>
      <c r="B207" s="1">
        <v>40552</v>
      </c>
      <c r="C207">
        <v>1</v>
      </c>
      <c r="D207">
        <v>0</v>
      </c>
      <c r="E207">
        <v>1</v>
      </c>
      <c r="F207">
        <v>20</v>
      </c>
      <c r="G207" t="b">
        <v>0</v>
      </c>
      <c r="H207">
        <v>0</v>
      </c>
      <c r="I207">
        <v>1</v>
      </c>
      <c r="J207">
        <v>0.14000000000000001</v>
      </c>
    </row>
    <row r="208" spans="1:10" x14ac:dyDescent="0.3">
      <c r="A208">
        <v>207</v>
      </c>
      <c r="B208" s="1">
        <v>40552</v>
      </c>
      <c r="C208">
        <v>1</v>
      </c>
      <c r="D208">
        <v>0</v>
      </c>
      <c r="E208">
        <v>1</v>
      </c>
      <c r="F208">
        <v>21</v>
      </c>
      <c r="G208" t="b">
        <v>0</v>
      </c>
      <c r="H208">
        <v>0</v>
      </c>
      <c r="I208">
        <v>1</v>
      </c>
      <c r="J208">
        <v>0.14000000000000001</v>
      </c>
    </row>
    <row r="209" spans="1:10" x14ac:dyDescent="0.3">
      <c r="A209">
        <v>208</v>
      </c>
      <c r="B209" s="1">
        <v>40552</v>
      </c>
      <c r="C209">
        <v>1</v>
      </c>
      <c r="D209">
        <v>0</v>
      </c>
      <c r="E209">
        <v>1</v>
      </c>
      <c r="F209">
        <v>22</v>
      </c>
      <c r="G209" t="b">
        <v>0</v>
      </c>
      <c r="H209">
        <v>0</v>
      </c>
      <c r="I209">
        <v>1</v>
      </c>
      <c r="J209">
        <v>0.14000000000000001</v>
      </c>
    </row>
    <row r="210" spans="1:10" x14ac:dyDescent="0.3">
      <c r="A210">
        <v>209</v>
      </c>
      <c r="B210" s="1">
        <v>40552</v>
      </c>
      <c r="C210">
        <v>1</v>
      </c>
      <c r="D210">
        <v>0</v>
      </c>
      <c r="E210">
        <v>1</v>
      </c>
      <c r="F210">
        <v>23</v>
      </c>
      <c r="G210" t="b">
        <v>0</v>
      </c>
      <c r="H210">
        <v>0</v>
      </c>
      <c r="I210">
        <v>1</v>
      </c>
      <c r="J210">
        <v>0.12</v>
      </c>
    </row>
    <row r="211" spans="1:10" x14ac:dyDescent="0.3">
      <c r="A211">
        <v>210</v>
      </c>
      <c r="B211" s="1">
        <v>40553</v>
      </c>
      <c r="C211">
        <v>1</v>
      </c>
      <c r="D211">
        <v>0</v>
      </c>
      <c r="E211">
        <v>1</v>
      </c>
      <c r="F211">
        <v>0</v>
      </c>
      <c r="G211" t="b">
        <v>0</v>
      </c>
      <c r="H211">
        <v>1</v>
      </c>
      <c r="I211">
        <v>1</v>
      </c>
      <c r="J211">
        <v>0.12</v>
      </c>
    </row>
    <row r="212" spans="1:10" x14ac:dyDescent="0.3">
      <c r="A212">
        <v>211</v>
      </c>
      <c r="B212" s="1">
        <v>40553</v>
      </c>
      <c r="C212">
        <v>1</v>
      </c>
      <c r="D212">
        <v>0</v>
      </c>
      <c r="E212">
        <v>1</v>
      </c>
      <c r="F212">
        <v>1</v>
      </c>
      <c r="G212" t="b">
        <v>0</v>
      </c>
      <c r="H212">
        <v>1</v>
      </c>
      <c r="I212">
        <v>1</v>
      </c>
      <c r="J212">
        <v>0.12</v>
      </c>
    </row>
    <row r="213" spans="1:10" x14ac:dyDescent="0.3">
      <c r="A213">
        <v>212</v>
      </c>
      <c r="B213" s="1">
        <v>40553</v>
      </c>
      <c r="C213">
        <v>1</v>
      </c>
      <c r="D213">
        <v>0</v>
      </c>
      <c r="E213">
        <v>1</v>
      </c>
      <c r="F213">
        <v>2</v>
      </c>
      <c r="G213" t="b">
        <v>0</v>
      </c>
      <c r="H213">
        <v>1</v>
      </c>
      <c r="I213">
        <v>1</v>
      </c>
      <c r="J213">
        <v>0.12</v>
      </c>
    </row>
    <row r="214" spans="1:10" x14ac:dyDescent="0.3">
      <c r="A214">
        <v>213</v>
      </c>
      <c r="B214" s="1">
        <v>40553</v>
      </c>
      <c r="C214">
        <v>1</v>
      </c>
      <c r="D214">
        <v>0</v>
      </c>
      <c r="E214">
        <v>1</v>
      </c>
      <c r="F214">
        <v>3</v>
      </c>
      <c r="G214" t="b">
        <v>0</v>
      </c>
      <c r="H214">
        <v>1</v>
      </c>
      <c r="I214">
        <v>1</v>
      </c>
      <c r="J214">
        <v>0.12</v>
      </c>
    </row>
    <row r="215" spans="1:10" x14ac:dyDescent="0.3">
      <c r="A215">
        <v>214</v>
      </c>
      <c r="B215" s="1">
        <v>40553</v>
      </c>
      <c r="C215">
        <v>1</v>
      </c>
      <c r="D215">
        <v>0</v>
      </c>
      <c r="E215">
        <v>1</v>
      </c>
      <c r="F215">
        <v>4</v>
      </c>
      <c r="G215" t="b">
        <v>0</v>
      </c>
      <c r="H215">
        <v>1</v>
      </c>
      <c r="I215">
        <v>1</v>
      </c>
      <c r="J215">
        <v>0.1</v>
      </c>
    </row>
    <row r="216" spans="1:10" x14ac:dyDescent="0.3">
      <c r="A216">
        <v>215</v>
      </c>
      <c r="B216" s="1">
        <v>40553</v>
      </c>
      <c r="C216">
        <v>1</v>
      </c>
      <c r="D216">
        <v>0</v>
      </c>
      <c r="E216">
        <v>1</v>
      </c>
      <c r="F216">
        <v>5</v>
      </c>
      <c r="G216" t="b">
        <v>0</v>
      </c>
      <c r="H216">
        <v>1</v>
      </c>
      <c r="I216">
        <v>1</v>
      </c>
      <c r="J216">
        <v>0.1</v>
      </c>
    </row>
    <row r="217" spans="1:10" x14ac:dyDescent="0.3">
      <c r="A217">
        <v>216</v>
      </c>
      <c r="B217" s="1">
        <v>40553</v>
      </c>
      <c r="C217">
        <v>1</v>
      </c>
      <c r="D217">
        <v>0</v>
      </c>
      <c r="E217">
        <v>1</v>
      </c>
      <c r="F217">
        <v>6</v>
      </c>
      <c r="G217" t="b">
        <v>0</v>
      </c>
      <c r="H217">
        <v>1</v>
      </c>
      <c r="I217">
        <v>1</v>
      </c>
      <c r="J217">
        <v>0.12</v>
      </c>
    </row>
    <row r="218" spans="1:10" x14ac:dyDescent="0.3">
      <c r="A218">
        <v>217</v>
      </c>
      <c r="B218" s="1">
        <v>40553</v>
      </c>
      <c r="C218">
        <v>1</v>
      </c>
      <c r="D218">
        <v>0</v>
      </c>
      <c r="E218">
        <v>1</v>
      </c>
      <c r="F218">
        <v>7</v>
      </c>
      <c r="G218" t="b">
        <v>0</v>
      </c>
      <c r="H218">
        <v>1</v>
      </c>
      <c r="I218">
        <v>1</v>
      </c>
      <c r="J218">
        <v>0.12</v>
      </c>
    </row>
    <row r="219" spans="1:10" x14ac:dyDescent="0.3">
      <c r="A219">
        <v>218</v>
      </c>
      <c r="B219" s="1">
        <v>40553</v>
      </c>
      <c r="C219">
        <v>1</v>
      </c>
      <c r="D219">
        <v>0</v>
      </c>
      <c r="E219">
        <v>1</v>
      </c>
      <c r="F219">
        <v>8</v>
      </c>
      <c r="G219" t="b">
        <v>0</v>
      </c>
      <c r="H219">
        <v>1</v>
      </c>
      <c r="I219">
        <v>2</v>
      </c>
      <c r="J219">
        <v>0.12</v>
      </c>
    </row>
    <row r="220" spans="1:10" x14ac:dyDescent="0.3">
      <c r="A220">
        <v>219</v>
      </c>
      <c r="B220" s="1">
        <v>40553</v>
      </c>
      <c r="C220">
        <v>1</v>
      </c>
      <c r="D220">
        <v>0</v>
      </c>
      <c r="E220">
        <v>1</v>
      </c>
      <c r="F220">
        <v>9</v>
      </c>
      <c r="G220" t="b">
        <v>0</v>
      </c>
      <c r="H220">
        <v>1</v>
      </c>
      <c r="I220">
        <v>2</v>
      </c>
      <c r="J220">
        <v>0.14000000000000001</v>
      </c>
    </row>
    <row r="221" spans="1:10" x14ac:dyDescent="0.3">
      <c r="A221">
        <v>220</v>
      </c>
      <c r="B221" s="1">
        <v>40553</v>
      </c>
      <c r="C221">
        <v>1</v>
      </c>
      <c r="D221">
        <v>0</v>
      </c>
      <c r="E221">
        <v>1</v>
      </c>
      <c r="F221">
        <v>10</v>
      </c>
      <c r="G221" t="b">
        <v>0</v>
      </c>
      <c r="H221">
        <v>1</v>
      </c>
      <c r="I221">
        <v>2</v>
      </c>
      <c r="J221">
        <v>0.14000000000000001</v>
      </c>
    </row>
    <row r="222" spans="1:10" x14ac:dyDescent="0.3">
      <c r="A222">
        <v>221</v>
      </c>
      <c r="B222" s="1">
        <v>40553</v>
      </c>
      <c r="C222">
        <v>1</v>
      </c>
      <c r="D222">
        <v>0</v>
      </c>
      <c r="E222">
        <v>1</v>
      </c>
      <c r="F222">
        <v>11</v>
      </c>
      <c r="G222" t="b">
        <v>0</v>
      </c>
      <c r="H222">
        <v>1</v>
      </c>
      <c r="I222">
        <v>2</v>
      </c>
      <c r="J222">
        <v>0.16</v>
      </c>
    </row>
    <row r="223" spans="1:10" x14ac:dyDescent="0.3">
      <c r="A223">
        <v>222</v>
      </c>
      <c r="B223" s="1">
        <v>40553</v>
      </c>
      <c r="C223">
        <v>1</v>
      </c>
      <c r="D223">
        <v>0</v>
      </c>
      <c r="E223">
        <v>1</v>
      </c>
      <c r="F223">
        <v>12</v>
      </c>
      <c r="G223" t="b">
        <v>0</v>
      </c>
      <c r="H223">
        <v>1</v>
      </c>
      <c r="I223">
        <v>2</v>
      </c>
      <c r="J223">
        <v>0.2</v>
      </c>
    </row>
    <row r="224" spans="1:10" x14ac:dyDescent="0.3">
      <c r="A224">
        <v>223</v>
      </c>
      <c r="B224" s="1">
        <v>40553</v>
      </c>
      <c r="C224">
        <v>1</v>
      </c>
      <c r="D224">
        <v>0</v>
      </c>
      <c r="E224">
        <v>1</v>
      </c>
      <c r="F224">
        <v>13</v>
      </c>
      <c r="G224" t="b">
        <v>0</v>
      </c>
      <c r="H224">
        <v>1</v>
      </c>
      <c r="I224">
        <v>2</v>
      </c>
      <c r="J224">
        <v>0.2</v>
      </c>
    </row>
    <row r="225" spans="1:10" x14ac:dyDescent="0.3">
      <c r="A225">
        <v>224</v>
      </c>
      <c r="B225" s="1">
        <v>40553</v>
      </c>
      <c r="C225">
        <v>1</v>
      </c>
      <c r="D225">
        <v>0</v>
      </c>
      <c r="E225">
        <v>1</v>
      </c>
      <c r="F225">
        <v>14</v>
      </c>
      <c r="G225" t="b">
        <v>0</v>
      </c>
      <c r="H225">
        <v>1</v>
      </c>
      <c r="I225">
        <v>2</v>
      </c>
      <c r="J225">
        <v>0.2</v>
      </c>
    </row>
    <row r="226" spans="1:10" x14ac:dyDescent="0.3">
      <c r="A226">
        <v>225</v>
      </c>
      <c r="B226" s="1">
        <v>40553</v>
      </c>
      <c r="C226">
        <v>1</v>
      </c>
      <c r="D226">
        <v>0</v>
      </c>
      <c r="E226">
        <v>1</v>
      </c>
      <c r="F226">
        <v>15</v>
      </c>
      <c r="G226" t="b">
        <v>0</v>
      </c>
      <c r="H226">
        <v>1</v>
      </c>
      <c r="I226">
        <v>2</v>
      </c>
      <c r="J226">
        <v>0.2</v>
      </c>
    </row>
    <row r="227" spans="1:10" x14ac:dyDescent="0.3">
      <c r="A227">
        <v>226</v>
      </c>
      <c r="B227" s="1">
        <v>40553</v>
      </c>
      <c r="C227">
        <v>1</v>
      </c>
      <c r="D227">
        <v>0</v>
      </c>
      <c r="E227">
        <v>1</v>
      </c>
      <c r="F227">
        <v>16</v>
      </c>
      <c r="G227" t="b">
        <v>0</v>
      </c>
      <c r="H227">
        <v>1</v>
      </c>
      <c r="I227">
        <v>1</v>
      </c>
      <c r="J227">
        <v>0.2</v>
      </c>
    </row>
    <row r="228" spans="1:10" x14ac:dyDescent="0.3">
      <c r="A228">
        <v>227</v>
      </c>
      <c r="B228" s="1">
        <v>40553</v>
      </c>
      <c r="C228">
        <v>1</v>
      </c>
      <c r="D228">
        <v>0</v>
      </c>
      <c r="E228">
        <v>1</v>
      </c>
      <c r="F228">
        <v>17</v>
      </c>
      <c r="G228" t="b">
        <v>0</v>
      </c>
      <c r="H228">
        <v>1</v>
      </c>
      <c r="I228">
        <v>1</v>
      </c>
      <c r="J228">
        <v>0.2</v>
      </c>
    </row>
    <row r="229" spans="1:10" x14ac:dyDescent="0.3">
      <c r="A229">
        <v>228</v>
      </c>
      <c r="B229" s="1">
        <v>40553</v>
      </c>
      <c r="C229">
        <v>1</v>
      </c>
      <c r="D229">
        <v>0</v>
      </c>
      <c r="E229">
        <v>1</v>
      </c>
      <c r="F229">
        <v>18</v>
      </c>
      <c r="G229" t="b">
        <v>0</v>
      </c>
      <c r="H229">
        <v>1</v>
      </c>
      <c r="I229">
        <v>1</v>
      </c>
      <c r="J229">
        <v>0.2</v>
      </c>
    </row>
    <row r="230" spans="1:10" x14ac:dyDescent="0.3">
      <c r="A230">
        <v>229</v>
      </c>
      <c r="B230" s="1">
        <v>40553</v>
      </c>
      <c r="C230">
        <v>1</v>
      </c>
      <c r="D230">
        <v>0</v>
      </c>
      <c r="E230">
        <v>1</v>
      </c>
      <c r="F230">
        <v>19</v>
      </c>
      <c r="G230" t="b">
        <v>0</v>
      </c>
      <c r="H230">
        <v>1</v>
      </c>
      <c r="I230">
        <v>1</v>
      </c>
      <c r="J230">
        <v>0.16</v>
      </c>
    </row>
    <row r="231" spans="1:10" x14ac:dyDescent="0.3">
      <c r="A231">
        <v>230</v>
      </c>
      <c r="B231" s="1">
        <v>40553</v>
      </c>
      <c r="C231">
        <v>1</v>
      </c>
      <c r="D231">
        <v>0</v>
      </c>
      <c r="E231">
        <v>1</v>
      </c>
      <c r="F231">
        <v>20</v>
      </c>
      <c r="G231" t="b">
        <v>0</v>
      </c>
      <c r="H231">
        <v>1</v>
      </c>
      <c r="I231">
        <v>1</v>
      </c>
      <c r="J231">
        <v>0.16</v>
      </c>
    </row>
    <row r="232" spans="1:10" x14ac:dyDescent="0.3">
      <c r="A232">
        <v>231</v>
      </c>
      <c r="B232" s="1">
        <v>40553</v>
      </c>
      <c r="C232">
        <v>1</v>
      </c>
      <c r="D232">
        <v>0</v>
      </c>
      <c r="E232">
        <v>1</v>
      </c>
      <c r="F232">
        <v>21</v>
      </c>
      <c r="G232" t="b">
        <v>0</v>
      </c>
      <c r="H232">
        <v>1</v>
      </c>
      <c r="I232">
        <v>1</v>
      </c>
      <c r="J232">
        <v>0.14000000000000001</v>
      </c>
    </row>
    <row r="233" spans="1:10" x14ac:dyDescent="0.3">
      <c r="A233">
        <v>232</v>
      </c>
      <c r="B233" s="1">
        <v>40553</v>
      </c>
      <c r="C233">
        <v>1</v>
      </c>
      <c r="D233">
        <v>0</v>
      </c>
      <c r="E233">
        <v>1</v>
      </c>
      <c r="F233">
        <v>22</v>
      </c>
      <c r="G233" t="b">
        <v>0</v>
      </c>
      <c r="H233">
        <v>1</v>
      </c>
      <c r="I233">
        <v>1</v>
      </c>
      <c r="J233">
        <v>0.14000000000000001</v>
      </c>
    </row>
    <row r="234" spans="1:10" x14ac:dyDescent="0.3">
      <c r="A234">
        <v>233</v>
      </c>
      <c r="B234" s="1">
        <v>40553</v>
      </c>
      <c r="C234">
        <v>1</v>
      </c>
      <c r="D234">
        <v>0</v>
      </c>
      <c r="E234">
        <v>1</v>
      </c>
      <c r="F234">
        <v>23</v>
      </c>
      <c r="G234" t="b">
        <v>0</v>
      </c>
      <c r="H234">
        <v>1</v>
      </c>
      <c r="I234">
        <v>1</v>
      </c>
      <c r="J234">
        <v>0.14000000000000001</v>
      </c>
    </row>
    <row r="235" spans="1:10" x14ac:dyDescent="0.3">
      <c r="A235">
        <v>234</v>
      </c>
      <c r="B235" s="1">
        <v>40554</v>
      </c>
      <c r="C235">
        <v>1</v>
      </c>
      <c r="D235">
        <v>0</v>
      </c>
      <c r="E235">
        <v>1</v>
      </c>
      <c r="F235">
        <v>0</v>
      </c>
      <c r="G235" t="b">
        <v>0</v>
      </c>
      <c r="H235">
        <v>2</v>
      </c>
      <c r="I235">
        <v>1</v>
      </c>
      <c r="J235">
        <v>0.14000000000000001</v>
      </c>
    </row>
    <row r="236" spans="1:10" x14ac:dyDescent="0.3">
      <c r="A236">
        <v>235</v>
      </c>
      <c r="B236" s="1">
        <v>40554</v>
      </c>
      <c r="C236">
        <v>1</v>
      </c>
      <c r="D236">
        <v>0</v>
      </c>
      <c r="E236">
        <v>1</v>
      </c>
      <c r="F236">
        <v>1</v>
      </c>
      <c r="G236" t="b">
        <v>0</v>
      </c>
      <c r="H236">
        <v>2</v>
      </c>
      <c r="I236">
        <v>1</v>
      </c>
      <c r="J236">
        <v>0.14000000000000001</v>
      </c>
    </row>
    <row r="237" spans="1:10" x14ac:dyDescent="0.3">
      <c r="A237">
        <v>236</v>
      </c>
      <c r="B237" s="1">
        <v>40554</v>
      </c>
      <c r="C237">
        <v>1</v>
      </c>
      <c r="D237">
        <v>0</v>
      </c>
      <c r="E237">
        <v>1</v>
      </c>
      <c r="F237">
        <v>2</v>
      </c>
      <c r="G237" t="b">
        <v>0</v>
      </c>
      <c r="H237">
        <v>2</v>
      </c>
      <c r="I237">
        <v>2</v>
      </c>
      <c r="J237">
        <v>0.16</v>
      </c>
    </row>
    <row r="238" spans="1:10" x14ac:dyDescent="0.3">
      <c r="A238">
        <v>237</v>
      </c>
      <c r="B238" s="1">
        <v>40554</v>
      </c>
      <c r="C238">
        <v>1</v>
      </c>
      <c r="D238">
        <v>0</v>
      </c>
      <c r="E238">
        <v>1</v>
      </c>
      <c r="F238">
        <v>5</v>
      </c>
      <c r="G238" t="b">
        <v>0</v>
      </c>
      <c r="H238">
        <v>2</v>
      </c>
      <c r="I238">
        <v>2</v>
      </c>
      <c r="J238">
        <v>0.16</v>
      </c>
    </row>
    <row r="239" spans="1:10" x14ac:dyDescent="0.3">
      <c r="A239">
        <v>238</v>
      </c>
      <c r="B239" s="1">
        <v>40554</v>
      </c>
      <c r="C239">
        <v>1</v>
      </c>
      <c r="D239">
        <v>0</v>
      </c>
      <c r="E239">
        <v>1</v>
      </c>
      <c r="F239">
        <v>6</v>
      </c>
      <c r="G239" t="b">
        <v>0</v>
      </c>
      <c r="H239">
        <v>2</v>
      </c>
      <c r="I239">
        <v>2</v>
      </c>
      <c r="J239">
        <v>0.16</v>
      </c>
    </row>
    <row r="240" spans="1:10" x14ac:dyDescent="0.3">
      <c r="A240">
        <v>239</v>
      </c>
      <c r="B240" s="1">
        <v>40554</v>
      </c>
      <c r="C240">
        <v>1</v>
      </c>
      <c r="D240">
        <v>0</v>
      </c>
      <c r="E240">
        <v>1</v>
      </c>
      <c r="F240">
        <v>7</v>
      </c>
      <c r="G240" t="b">
        <v>0</v>
      </c>
      <c r="H240">
        <v>2</v>
      </c>
      <c r="I240">
        <v>2</v>
      </c>
      <c r="J240">
        <v>0.16</v>
      </c>
    </row>
    <row r="241" spans="1:10" x14ac:dyDescent="0.3">
      <c r="A241">
        <v>240</v>
      </c>
      <c r="B241" s="1">
        <v>40554</v>
      </c>
      <c r="C241">
        <v>1</v>
      </c>
      <c r="D241">
        <v>0</v>
      </c>
      <c r="E241">
        <v>1</v>
      </c>
      <c r="F241">
        <v>8</v>
      </c>
      <c r="G241" t="b">
        <v>0</v>
      </c>
      <c r="H241">
        <v>2</v>
      </c>
      <c r="I241">
        <v>2</v>
      </c>
      <c r="J241">
        <v>0.18</v>
      </c>
    </row>
    <row r="242" spans="1:10" x14ac:dyDescent="0.3">
      <c r="A242">
        <v>241</v>
      </c>
      <c r="B242" s="1">
        <v>40554</v>
      </c>
      <c r="C242">
        <v>1</v>
      </c>
      <c r="D242">
        <v>0</v>
      </c>
      <c r="E242">
        <v>1</v>
      </c>
      <c r="F242">
        <v>9</v>
      </c>
      <c r="G242" t="b">
        <v>0</v>
      </c>
      <c r="H242">
        <v>2</v>
      </c>
      <c r="I242">
        <v>2</v>
      </c>
      <c r="J242">
        <v>0.18</v>
      </c>
    </row>
    <row r="243" spans="1:10" x14ac:dyDescent="0.3">
      <c r="A243">
        <v>242</v>
      </c>
      <c r="B243" s="1">
        <v>40554</v>
      </c>
      <c r="C243">
        <v>1</v>
      </c>
      <c r="D243">
        <v>0</v>
      </c>
      <c r="E243">
        <v>1</v>
      </c>
      <c r="F243">
        <v>10</v>
      </c>
      <c r="G243" t="b">
        <v>0</v>
      </c>
      <c r="H243">
        <v>2</v>
      </c>
      <c r="I243">
        <v>2</v>
      </c>
      <c r="J243">
        <v>0.2</v>
      </c>
    </row>
    <row r="244" spans="1:10" x14ac:dyDescent="0.3">
      <c r="A244">
        <v>243</v>
      </c>
      <c r="B244" s="1">
        <v>40554</v>
      </c>
      <c r="C244">
        <v>1</v>
      </c>
      <c r="D244">
        <v>0</v>
      </c>
      <c r="E244">
        <v>1</v>
      </c>
      <c r="F244">
        <v>11</v>
      </c>
      <c r="G244" t="b">
        <v>0</v>
      </c>
      <c r="H244">
        <v>2</v>
      </c>
      <c r="I244">
        <v>2</v>
      </c>
      <c r="J244">
        <v>0.2</v>
      </c>
    </row>
    <row r="245" spans="1:10" x14ac:dyDescent="0.3">
      <c r="A245">
        <v>244</v>
      </c>
      <c r="B245" s="1">
        <v>40554</v>
      </c>
      <c r="C245">
        <v>1</v>
      </c>
      <c r="D245">
        <v>0</v>
      </c>
      <c r="E245">
        <v>1</v>
      </c>
      <c r="F245">
        <v>12</v>
      </c>
      <c r="G245" t="b">
        <v>0</v>
      </c>
      <c r="H245">
        <v>2</v>
      </c>
      <c r="I245">
        <v>2</v>
      </c>
      <c r="J245">
        <v>0.2</v>
      </c>
    </row>
    <row r="246" spans="1:10" x14ac:dyDescent="0.3">
      <c r="A246">
        <v>245</v>
      </c>
      <c r="B246" s="1">
        <v>40554</v>
      </c>
      <c r="C246">
        <v>1</v>
      </c>
      <c r="D246">
        <v>0</v>
      </c>
      <c r="E246">
        <v>1</v>
      </c>
      <c r="F246">
        <v>13</v>
      </c>
      <c r="G246" t="b">
        <v>0</v>
      </c>
      <c r="H246">
        <v>2</v>
      </c>
      <c r="I246">
        <v>2</v>
      </c>
      <c r="J246">
        <v>0.2</v>
      </c>
    </row>
    <row r="247" spans="1:10" x14ac:dyDescent="0.3">
      <c r="A247">
        <v>246</v>
      </c>
      <c r="B247" s="1">
        <v>40554</v>
      </c>
      <c r="C247">
        <v>1</v>
      </c>
      <c r="D247">
        <v>0</v>
      </c>
      <c r="E247">
        <v>1</v>
      </c>
      <c r="F247">
        <v>14</v>
      </c>
      <c r="G247" t="b">
        <v>0</v>
      </c>
      <c r="H247">
        <v>2</v>
      </c>
      <c r="I247">
        <v>2</v>
      </c>
      <c r="J247">
        <v>0.2</v>
      </c>
    </row>
    <row r="248" spans="1:10" x14ac:dyDescent="0.3">
      <c r="A248">
        <v>247</v>
      </c>
      <c r="B248" s="1">
        <v>40554</v>
      </c>
      <c r="C248">
        <v>1</v>
      </c>
      <c r="D248">
        <v>0</v>
      </c>
      <c r="E248">
        <v>1</v>
      </c>
      <c r="F248">
        <v>15</v>
      </c>
      <c r="G248" t="b">
        <v>0</v>
      </c>
      <c r="H248">
        <v>2</v>
      </c>
      <c r="I248">
        <v>2</v>
      </c>
      <c r="J248">
        <v>0.16</v>
      </c>
    </row>
    <row r="249" spans="1:10" x14ac:dyDescent="0.3">
      <c r="A249">
        <v>248</v>
      </c>
      <c r="B249" s="1">
        <v>40554</v>
      </c>
      <c r="C249">
        <v>1</v>
      </c>
      <c r="D249">
        <v>0</v>
      </c>
      <c r="E249">
        <v>1</v>
      </c>
      <c r="F249">
        <v>16</v>
      </c>
      <c r="G249" t="b">
        <v>0</v>
      </c>
      <c r="H249">
        <v>2</v>
      </c>
      <c r="I249">
        <v>2</v>
      </c>
      <c r="J249">
        <v>0.16</v>
      </c>
    </row>
    <row r="250" spans="1:10" x14ac:dyDescent="0.3">
      <c r="A250">
        <v>249</v>
      </c>
      <c r="B250" s="1">
        <v>40554</v>
      </c>
      <c r="C250">
        <v>1</v>
      </c>
      <c r="D250">
        <v>0</v>
      </c>
      <c r="E250">
        <v>1</v>
      </c>
      <c r="F250">
        <v>17</v>
      </c>
      <c r="G250" t="b">
        <v>0</v>
      </c>
      <c r="H250">
        <v>2</v>
      </c>
      <c r="I250">
        <v>2</v>
      </c>
      <c r="J250">
        <v>0.16</v>
      </c>
    </row>
    <row r="251" spans="1:10" x14ac:dyDescent="0.3">
      <c r="A251">
        <v>250</v>
      </c>
      <c r="B251" s="1">
        <v>40554</v>
      </c>
      <c r="C251">
        <v>1</v>
      </c>
      <c r="D251">
        <v>0</v>
      </c>
      <c r="E251">
        <v>1</v>
      </c>
      <c r="F251">
        <v>18</v>
      </c>
      <c r="G251" t="b">
        <v>0</v>
      </c>
      <c r="H251">
        <v>2</v>
      </c>
      <c r="I251">
        <v>3</v>
      </c>
      <c r="J251">
        <v>0.16</v>
      </c>
    </row>
    <row r="252" spans="1:10" x14ac:dyDescent="0.3">
      <c r="A252">
        <v>251</v>
      </c>
      <c r="B252" s="1">
        <v>40554</v>
      </c>
      <c r="C252">
        <v>1</v>
      </c>
      <c r="D252">
        <v>0</v>
      </c>
      <c r="E252">
        <v>1</v>
      </c>
      <c r="F252">
        <v>19</v>
      </c>
      <c r="G252" t="b">
        <v>0</v>
      </c>
      <c r="H252">
        <v>2</v>
      </c>
      <c r="I252">
        <v>3</v>
      </c>
      <c r="J252">
        <v>0.16</v>
      </c>
    </row>
    <row r="253" spans="1:10" x14ac:dyDescent="0.3">
      <c r="A253">
        <v>252</v>
      </c>
      <c r="B253" s="1">
        <v>40554</v>
      </c>
      <c r="C253">
        <v>1</v>
      </c>
      <c r="D253">
        <v>0</v>
      </c>
      <c r="E253">
        <v>1</v>
      </c>
      <c r="F253">
        <v>20</v>
      </c>
      <c r="G253" t="b">
        <v>0</v>
      </c>
      <c r="H253">
        <v>2</v>
      </c>
      <c r="I253">
        <v>3</v>
      </c>
      <c r="J253">
        <v>0.16</v>
      </c>
    </row>
    <row r="254" spans="1:10" x14ac:dyDescent="0.3">
      <c r="A254">
        <v>253</v>
      </c>
      <c r="B254" s="1">
        <v>40554</v>
      </c>
      <c r="C254">
        <v>1</v>
      </c>
      <c r="D254">
        <v>0</v>
      </c>
      <c r="E254">
        <v>1</v>
      </c>
      <c r="F254">
        <v>21</v>
      </c>
      <c r="G254" t="b">
        <v>0</v>
      </c>
      <c r="H254">
        <v>2</v>
      </c>
      <c r="I254">
        <v>3</v>
      </c>
      <c r="J254">
        <v>0.16</v>
      </c>
    </row>
    <row r="255" spans="1:10" x14ac:dyDescent="0.3">
      <c r="A255">
        <v>254</v>
      </c>
      <c r="B255" s="1">
        <v>40554</v>
      </c>
      <c r="C255">
        <v>1</v>
      </c>
      <c r="D255">
        <v>0</v>
      </c>
      <c r="E255">
        <v>1</v>
      </c>
      <c r="F255">
        <v>22</v>
      </c>
      <c r="G255" t="b">
        <v>0</v>
      </c>
      <c r="H255">
        <v>2</v>
      </c>
      <c r="I255">
        <v>3</v>
      </c>
      <c r="J255">
        <v>0.16</v>
      </c>
    </row>
    <row r="256" spans="1:10" x14ac:dyDescent="0.3">
      <c r="A256">
        <v>255</v>
      </c>
      <c r="B256" s="1">
        <v>40554</v>
      </c>
      <c r="C256">
        <v>1</v>
      </c>
      <c r="D256">
        <v>0</v>
      </c>
      <c r="E256">
        <v>1</v>
      </c>
      <c r="F256">
        <v>23</v>
      </c>
      <c r="G256" t="b">
        <v>0</v>
      </c>
      <c r="H256">
        <v>2</v>
      </c>
      <c r="I256">
        <v>3</v>
      </c>
      <c r="J256">
        <v>0.16</v>
      </c>
    </row>
    <row r="257" spans="1:10" x14ac:dyDescent="0.3">
      <c r="A257">
        <v>256</v>
      </c>
      <c r="B257" s="1">
        <v>40555</v>
      </c>
      <c r="C257">
        <v>1</v>
      </c>
      <c r="D257">
        <v>0</v>
      </c>
      <c r="E257">
        <v>1</v>
      </c>
      <c r="F257">
        <v>0</v>
      </c>
      <c r="G257" t="b">
        <v>0</v>
      </c>
      <c r="H257">
        <v>3</v>
      </c>
      <c r="I257">
        <v>2</v>
      </c>
      <c r="J257">
        <v>0.16</v>
      </c>
    </row>
    <row r="258" spans="1:10" x14ac:dyDescent="0.3">
      <c r="A258">
        <v>257</v>
      </c>
      <c r="B258" s="1">
        <v>40555</v>
      </c>
      <c r="C258">
        <v>1</v>
      </c>
      <c r="D258">
        <v>0</v>
      </c>
      <c r="E258">
        <v>1</v>
      </c>
      <c r="F258">
        <v>1</v>
      </c>
      <c r="G258" t="b">
        <v>0</v>
      </c>
      <c r="H258">
        <v>3</v>
      </c>
      <c r="I258">
        <v>2</v>
      </c>
      <c r="J258">
        <v>0.16</v>
      </c>
    </row>
    <row r="259" spans="1:10" x14ac:dyDescent="0.3">
      <c r="A259">
        <v>258</v>
      </c>
      <c r="B259" s="1">
        <v>40555</v>
      </c>
      <c r="C259">
        <v>1</v>
      </c>
      <c r="D259">
        <v>0</v>
      </c>
      <c r="E259">
        <v>1</v>
      </c>
      <c r="F259">
        <v>2</v>
      </c>
      <c r="G259" t="b">
        <v>0</v>
      </c>
      <c r="H259">
        <v>3</v>
      </c>
      <c r="I259">
        <v>1</v>
      </c>
      <c r="J259">
        <v>0.14000000000000001</v>
      </c>
    </row>
    <row r="260" spans="1:10" x14ac:dyDescent="0.3">
      <c r="A260">
        <v>259</v>
      </c>
      <c r="B260" s="1">
        <v>40555</v>
      </c>
      <c r="C260">
        <v>1</v>
      </c>
      <c r="D260">
        <v>0</v>
      </c>
      <c r="E260">
        <v>1</v>
      </c>
      <c r="F260">
        <v>5</v>
      </c>
      <c r="G260" t="b">
        <v>0</v>
      </c>
      <c r="H260">
        <v>3</v>
      </c>
      <c r="I260">
        <v>1</v>
      </c>
      <c r="J260">
        <v>0.14000000000000001</v>
      </c>
    </row>
    <row r="261" spans="1:10" x14ac:dyDescent="0.3">
      <c r="A261">
        <v>260</v>
      </c>
      <c r="B261" s="1">
        <v>40555</v>
      </c>
      <c r="C261">
        <v>1</v>
      </c>
      <c r="D261">
        <v>0</v>
      </c>
      <c r="E261">
        <v>1</v>
      </c>
      <c r="F261">
        <v>6</v>
      </c>
      <c r="G261" t="b">
        <v>0</v>
      </c>
      <c r="H261">
        <v>3</v>
      </c>
      <c r="I261">
        <v>1</v>
      </c>
      <c r="J261">
        <v>0.12</v>
      </c>
    </row>
    <row r="262" spans="1:10" x14ac:dyDescent="0.3">
      <c r="A262">
        <v>261</v>
      </c>
      <c r="B262" s="1">
        <v>40555</v>
      </c>
      <c r="C262">
        <v>1</v>
      </c>
      <c r="D262">
        <v>0</v>
      </c>
      <c r="E262">
        <v>1</v>
      </c>
      <c r="F262">
        <v>7</v>
      </c>
      <c r="G262" t="b">
        <v>0</v>
      </c>
      <c r="H262">
        <v>3</v>
      </c>
      <c r="I262">
        <v>1</v>
      </c>
      <c r="J262">
        <v>0.14000000000000001</v>
      </c>
    </row>
    <row r="263" spans="1:10" x14ac:dyDescent="0.3">
      <c r="A263">
        <v>262</v>
      </c>
      <c r="B263" s="1">
        <v>40555</v>
      </c>
      <c r="C263">
        <v>1</v>
      </c>
      <c r="D263">
        <v>0</v>
      </c>
      <c r="E263">
        <v>1</v>
      </c>
      <c r="F263">
        <v>8</v>
      </c>
      <c r="G263" t="b">
        <v>0</v>
      </c>
      <c r="H263">
        <v>3</v>
      </c>
      <c r="I263">
        <v>1</v>
      </c>
      <c r="J263">
        <v>0.16</v>
      </c>
    </row>
    <row r="264" spans="1:10" x14ac:dyDescent="0.3">
      <c r="A264">
        <v>263</v>
      </c>
      <c r="B264" s="1">
        <v>40555</v>
      </c>
      <c r="C264">
        <v>1</v>
      </c>
      <c r="D264">
        <v>0</v>
      </c>
      <c r="E264">
        <v>1</v>
      </c>
      <c r="F264">
        <v>9</v>
      </c>
      <c r="G264" t="b">
        <v>0</v>
      </c>
      <c r="H264">
        <v>3</v>
      </c>
      <c r="I264">
        <v>1</v>
      </c>
      <c r="J264">
        <v>0.16</v>
      </c>
    </row>
    <row r="265" spans="1:10" x14ac:dyDescent="0.3">
      <c r="A265">
        <v>264</v>
      </c>
      <c r="B265" s="1">
        <v>40555</v>
      </c>
      <c r="C265">
        <v>1</v>
      </c>
      <c r="D265">
        <v>0</v>
      </c>
      <c r="E265">
        <v>1</v>
      </c>
      <c r="F265">
        <v>10</v>
      </c>
      <c r="G265" t="b">
        <v>0</v>
      </c>
      <c r="H265">
        <v>3</v>
      </c>
      <c r="I265">
        <v>1</v>
      </c>
      <c r="J265">
        <v>0.18</v>
      </c>
    </row>
    <row r="266" spans="1:10" x14ac:dyDescent="0.3">
      <c r="A266">
        <v>265</v>
      </c>
      <c r="B266" s="1">
        <v>40555</v>
      </c>
      <c r="C266">
        <v>1</v>
      </c>
      <c r="D266">
        <v>0</v>
      </c>
      <c r="E266">
        <v>1</v>
      </c>
      <c r="F266">
        <v>11</v>
      </c>
      <c r="G266" t="b">
        <v>0</v>
      </c>
      <c r="H266">
        <v>3</v>
      </c>
      <c r="I266">
        <v>1</v>
      </c>
      <c r="J266">
        <v>0.2</v>
      </c>
    </row>
    <row r="267" spans="1:10" x14ac:dyDescent="0.3">
      <c r="A267">
        <v>266</v>
      </c>
      <c r="B267" s="1">
        <v>40555</v>
      </c>
      <c r="C267">
        <v>1</v>
      </c>
      <c r="D267">
        <v>0</v>
      </c>
      <c r="E267">
        <v>1</v>
      </c>
      <c r="F267">
        <v>12</v>
      </c>
      <c r="G267" t="b">
        <v>0</v>
      </c>
      <c r="H267">
        <v>3</v>
      </c>
      <c r="I267">
        <v>1</v>
      </c>
      <c r="J267">
        <v>0.2</v>
      </c>
    </row>
    <row r="268" spans="1:10" x14ac:dyDescent="0.3">
      <c r="A268">
        <v>267</v>
      </c>
      <c r="B268" s="1">
        <v>40555</v>
      </c>
      <c r="C268">
        <v>1</v>
      </c>
      <c r="D268">
        <v>0</v>
      </c>
      <c r="E268">
        <v>1</v>
      </c>
      <c r="F268">
        <v>13</v>
      </c>
      <c r="G268" t="b">
        <v>0</v>
      </c>
      <c r="H268">
        <v>3</v>
      </c>
      <c r="I268">
        <v>1</v>
      </c>
      <c r="J268">
        <v>0.22</v>
      </c>
    </row>
    <row r="269" spans="1:10" x14ac:dyDescent="0.3">
      <c r="A269">
        <v>268</v>
      </c>
      <c r="B269" s="1">
        <v>40555</v>
      </c>
      <c r="C269">
        <v>1</v>
      </c>
      <c r="D269">
        <v>0</v>
      </c>
      <c r="E269">
        <v>1</v>
      </c>
      <c r="F269">
        <v>14</v>
      </c>
      <c r="G269" t="b">
        <v>0</v>
      </c>
      <c r="H269">
        <v>3</v>
      </c>
      <c r="I269">
        <v>1</v>
      </c>
      <c r="J269">
        <v>0.2</v>
      </c>
    </row>
    <row r="270" spans="1:10" x14ac:dyDescent="0.3">
      <c r="A270">
        <v>269</v>
      </c>
      <c r="B270" s="1">
        <v>40555</v>
      </c>
      <c r="C270">
        <v>1</v>
      </c>
      <c r="D270">
        <v>0</v>
      </c>
      <c r="E270">
        <v>1</v>
      </c>
      <c r="F270">
        <v>15</v>
      </c>
      <c r="G270" t="b">
        <v>0</v>
      </c>
      <c r="H270">
        <v>3</v>
      </c>
      <c r="I270">
        <v>1</v>
      </c>
      <c r="J270">
        <v>0.2</v>
      </c>
    </row>
    <row r="271" spans="1:10" x14ac:dyDescent="0.3">
      <c r="A271">
        <v>270</v>
      </c>
      <c r="B271" s="1">
        <v>40555</v>
      </c>
      <c r="C271">
        <v>1</v>
      </c>
      <c r="D271">
        <v>0</v>
      </c>
      <c r="E271">
        <v>1</v>
      </c>
      <c r="F271">
        <v>16</v>
      </c>
      <c r="G271" t="b">
        <v>0</v>
      </c>
      <c r="H271">
        <v>3</v>
      </c>
      <c r="I271">
        <v>1</v>
      </c>
      <c r="J271">
        <v>0.22</v>
      </c>
    </row>
    <row r="272" spans="1:10" x14ac:dyDescent="0.3">
      <c r="A272">
        <v>271</v>
      </c>
      <c r="B272" s="1">
        <v>40555</v>
      </c>
      <c r="C272">
        <v>1</v>
      </c>
      <c r="D272">
        <v>0</v>
      </c>
      <c r="E272">
        <v>1</v>
      </c>
      <c r="F272">
        <v>17</v>
      </c>
      <c r="G272" t="b">
        <v>0</v>
      </c>
      <c r="H272">
        <v>3</v>
      </c>
      <c r="I272">
        <v>1</v>
      </c>
      <c r="J272">
        <v>0.2</v>
      </c>
    </row>
    <row r="273" spans="1:10" x14ac:dyDescent="0.3">
      <c r="A273">
        <v>272</v>
      </c>
      <c r="B273" s="1">
        <v>40555</v>
      </c>
      <c r="C273">
        <v>1</v>
      </c>
      <c r="D273">
        <v>0</v>
      </c>
      <c r="E273">
        <v>1</v>
      </c>
      <c r="F273">
        <v>18</v>
      </c>
      <c r="G273" t="b">
        <v>0</v>
      </c>
      <c r="H273">
        <v>3</v>
      </c>
      <c r="I273">
        <v>1</v>
      </c>
      <c r="J273">
        <v>0.2</v>
      </c>
    </row>
    <row r="274" spans="1:10" x14ac:dyDescent="0.3">
      <c r="A274">
        <v>273</v>
      </c>
      <c r="B274" s="1">
        <v>40555</v>
      </c>
      <c r="C274">
        <v>1</v>
      </c>
      <c r="D274">
        <v>0</v>
      </c>
      <c r="E274">
        <v>1</v>
      </c>
      <c r="F274">
        <v>19</v>
      </c>
      <c r="G274" t="b">
        <v>0</v>
      </c>
      <c r="H274">
        <v>3</v>
      </c>
      <c r="I274">
        <v>1</v>
      </c>
      <c r="J274">
        <v>0.18</v>
      </c>
    </row>
    <row r="275" spans="1:10" x14ac:dyDescent="0.3">
      <c r="A275">
        <v>274</v>
      </c>
      <c r="B275" s="1">
        <v>40555</v>
      </c>
      <c r="C275">
        <v>1</v>
      </c>
      <c r="D275">
        <v>0</v>
      </c>
      <c r="E275">
        <v>1</v>
      </c>
      <c r="F275">
        <v>20</v>
      </c>
      <c r="G275" t="b">
        <v>0</v>
      </c>
      <c r="H275">
        <v>3</v>
      </c>
      <c r="I275">
        <v>1</v>
      </c>
      <c r="J275">
        <v>0.16</v>
      </c>
    </row>
    <row r="276" spans="1:10" x14ac:dyDescent="0.3">
      <c r="A276">
        <v>275</v>
      </c>
      <c r="B276" s="1">
        <v>40555</v>
      </c>
      <c r="C276">
        <v>1</v>
      </c>
      <c r="D276">
        <v>0</v>
      </c>
      <c r="E276">
        <v>1</v>
      </c>
      <c r="F276">
        <v>21</v>
      </c>
      <c r="G276" t="b">
        <v>0</v>
      </c>
      <c r="H276">
        <v>3</v>
      </c>
      <c r="I276">
        <v>1</v>
      </c>
      <c r="J276">
        <v>0.16</v>
      </c>
    </row>
    <row r="277" spans="1:10" x14ac:dyDescent="0.3">
      <c r="A277">
        <v>276</v>
      </c>
      <c r="B277" s="1">
        <v>40555</v>
      </c>
      <c r="C277">
        <v>1</v>
      </c>
      <c r="D277">
        <v>0</v>
      </c>
      <c r="E277">
        <v>1</v>
      </c>
      <c r="F277">
        <v>22</v>
      </c>
      <c r="G277" t="b">
        <v>0</v>
      </c>
      <c r="H277">
        <v>3</v>
      </c>
      <c r="I277">
        <v>1</v>
      </c>
      <c r="J277">
        <v>0.16</v>
      </c>
    </row>
    <row r="278" spans="1:10" x14ac:dyDescent="0.3">
      <c r="A278">
        <v>277</v>
      </c>
      <c r="B278" s="1">
        <v>40555</v>
      </c>
      <c r="C278">
        <v>1</v>
      </c>
      <c r="D278">
        <v>0</v>
      </c>
      <c r="E278">
        <v>1</v>
      </c>
      <c r="F278">
        <v>23</v>
      </c>
      <c r="G278" t="b">
        <v>0</v>
      </c>
      <c r="H278">
        <v>3</v>
      </c>
      <c r="I278">
        <v>1</v>
      </c>
      <c r="J278">
        <v>0.14000000000000001</v>
      </c>
    </row>
    <row r="279" spans="1:10" x14ac:dyDescent="0.3">
      <c r="A279">
        <v>278</v>
      </c>
      <c r="B279" s="1">
        <v>40556</v>
      </c>
      <c r="C279">
        <v>1</v>
      </c>
      <c r="D279">
        <v>0</v>
      </c>
      <c r="E279">
        <v>1</v>
      </c>
      <c r="F279">
        <v>0</v>
      </c>
      <c r="G279" t="b">
        <v>0</v>
      </c>
      <c r="H279">
        <v>4</v>
      </c>
      <c r="I279">
        <v>1</v>
      </c>
      <c r="J279">
        <v>0.14000000000000001</v>
      </c>
    </row>
    <row r="280" spans="1:10" x14ac:dyDescent="0.3">
      <c r="A280">
        <v>279</v>
      </c>
      <c r="B280" s="1">
        <v>40556</v>
      </c>
      <c r="C280">
        <v>1</v>
      </c>
      <c r="D280">
        <v>0</v>
      </c>
      <c r="E280">
        <v>1</v>
      </c>
      <c r="F280">
        <v>1</v>
      </c>
      <c r="G280" t="b">
        <v>0</v>
      </c>
      <c r="H280">
        <v>4</v>
      </c>
      <c r="I280">
        <v>1</v>
      </c>
      <c r="J280">
        <v>0.14000000000000001</v>
      </c>
    </row>
    <row r="281" spans="1:10" x14ac:dyDescent="0.3">
      <c r="A281">
        <v>280</v>
      </c>
      <c r="B281" s="1">
        <v>40556</v>
      </c>
      <c r="C281">
        <v>1</v>
      </c>
      <c r="D281">
        <v>0</v>
      </c>
      <c r="E281">
        <v>1</v>
      </c>
      <c r="F281">
        <v>2</v>
      </c>
      <c r="G281" t="b">
        <v>0</v>
      </c>
      <c r="H281">
        <v>4</v>
      </c>
      <c r="I281">
        <v>1</v>
      </c>
      <c r="J281">
        <v>0.14000000000000001</v>
      </c>
    </row>
    <row r="282" spans="1:10" x14ac:dyDescent="0.3">
      <c r="A282">
        <v>281</v>
      </c>
      <c r="B282" s="1">
        <v>40556</v>
      </c>
      <c r="C282">
        <v>1</v>
      </c>
      <c r="D282">
        <v>0</v>
      </c>
      <c r="E282">
        <v>1</v>
      </c>
      <c r="F282">
        <v>3</v>
      </c>
      <c r="G282" t="b">
        <v>0</v>
      </c>
      <c r="H282">
        <v>4</v>
      </c>
      <c r="I282">
        <v>1</v>
      </c>
      <c r="J282">
        <v>0.14000000000000001</v>
      </c>
    </row>
    <row r="283" spans="1:10" x14ac:dyDescent="0.3">
      <c r="A283">
        <v>282</v>
      </c>
      <c r="B283" s="1">
        <v>40556</v>
      </c>
      <c r="C283">
        <v>1</v>
      </c>
      <c r="D283">
        <v>0</v>
      </c>
      <c r="E283">
        <v>1</v>
      </c>
      <c r="F283">
        <v>4</v>
      </c>
      <c r="G283" t="b">
        <v>0</v>
      </c>
      <c r="H283">
        <v>4</v>
      </c>
      <c r="I283">
        <v>1</v>
      </c>
      <c r="J283">
        <v>0.14000000000000001</v>
      </c>
    </row>
    <row r="284" spans="1:10" x14ac:dyDescent="0.3">
      <c r="A284">
        <v>283</v>
      </c>
      <c r="B284" s="1">
        <v>40556</v>
      </c>
      <c r="C284">
        <v>1</v>
      </c>
      <c r="D284">
        <v>0</v>
      </c>
      <c r="E284">
        <v>1</v>
      </c>
      <c r="F284">
        <v>5</v>
      </c>
      <c r="G284" t="b">
        <v>0</v>
      </c>
      <c r="H284">
        <v>4</v>
      </c>
      <c r="I284">
        <v>1</v>
      </c>
      <c r="J284">
        <v>0.14000000000000001</v>
      </c>
    </row>
    <row r="285" spans="1:10" x14ac:dyDescent="0.3">
      <c r="A285">
        <v>284</v>
      </c>
      <c r="B285" s="1">
        <v>40556</v>
      </c>
      <c r="C285">
        <v>1</v>
      </c>
      <c r="D285">
        <v>0</v>
      </c>
      <c r="E285">
        <v>1</v>
      </c>
      <c r="F285">
        <v>6</v>
      </c>
      <c r="G285" t="b">
        <v>0</v>
      </c>
      <c r="H285">
        <v>4</v>
      </c>
      <c r="I285">
        <v>1</v>
      </c>
      <c r="J285">
        <v>0.12</v>
      </c>
    </row>
    <row r="286" spans="1:10" x14ac:dyDescent="0.3">
      <c r="A286">
        <v>285</v>
      </c>
      <c r="B286" s="1">
        <v>40556</v>
      </c>
      <c r="C286">
        <v>1</v>
      </c>
      <c r="D286">
        <v>0</v>
      </c>
      <c r="E286">
        <v>1</v>
      </c>
      <c r="F286">
        <v>7</v>
      </c>
      <c r="G286" t="b">
        <v>0</v>
      </c>
      <c r="H286">
        <v>4</v>
      </c>
      <c r="I286">
        <v>1</v>
      </c>
      <c r="J286">
        <v>0.12</v>
      </c>
    </row>
    <row r="287" spans="1:10" x14ac:dyDescent="0.3">
      <c r="A287">
        <v>286</v>
      </c>
      <c r="B287" s="1">
        <v>40556</v>
      </c>
      <c r="C287">
        <v>1</v>
      </c>
      <c r="D287">
        <v>0</v>
      </c>
      <c r="E287">
        <v>1</v>
      </c>
      <c r="F287">
        <v>8</v>
      </c>
      <c r="G287" t="b">
        <v>0</v>
      </c>
      <c r="H287">
        <v>4</v>
      </c>
      <c r="I287">
        <v>1</v>
      </c>
      <c r="J287">
        <v>0.14000000000000001</v>
      </c>
    </row>
    <row r="288" spans="1:10" x14ac:dyDescent="0.3">
      <c r="A288">
        <v>287</v>
      </c>
      <c r="B288" s="1">
        <v>40556</v>
      </c>
      <c r="C288">
        <v>1</v>
      </c>
      <c r="D288">
        <v>0</v>
      </c>
      <c r="E288">
        <v>1</v>
      </c>
      <c r="F288">
        <v>9</v>
      </c>
      <c r="G288" t="b">
        <v>0</v>
      </c>
      <c r="H288">
        <v>4</v>
      </c>
      <c r="I288">
        <v>1</v>
      </c>
      <c r="J288">
        <v>0.14000000000000001</v>
      </c>
    </row>
    <row r="289" spans="1:10" x14ac:dyDescent="0.3">
      <c r="A289">
        <v>288</v>
      </c>
      <c r="B289" s="1">
        <v>40556</v>
      </c>
      <c r="C289">
        <v>1</v>
      </c>
      <c r="D289">
        <v>0</v>
      </c>
      <c r="E289">
        <v>1</v>
      </c>
      <c r="F289">
        <v>10</v>
      </c>
      <c r="G289" t="b">
        <v>0</v>
      </c>
      <c r="H289">
        <v>4</v>
      </c>
      <c r="I289">
        <v>2</v>
      </c>
      <c r="J289">
        <v>0.16</v>
      </c>
    </row>
    <row r="290" spans="1:10" x14ac:dyDescent="0.3">
      <c r="A290">
        <v>289</v>
      </c>
      <c r="B290" s="1">
        <v>40556</v>
      </c>
      <c r="C290">
        <v>1</v>
      </c>
      <c r="D290">
        <v>0</v>
      </c>
      <c r="E290">
        <v>1</v>
      </c>
      <c r="F290">
        <v>11</v>
      </c>
      <c r="G290" t="b">
        <v>0</v>
      </c>
      <c r="H290">
        <v>4</v>
      </c>
      <c r="I290">
        <v>2</v>
      </c>
      <c r="J290">
        <v>0.2</v>
      </c>
    </row>
    <row r="291" spans="1:10" x14ac:dyDescent="0.3">
      <c r="A291">
        <v>290</v>
      </c>
      <c r="B291" s="1">
        <v>40556</v>
      </c>
      <c r="C291">
        <v>1</v>
      </c>
      <c r="D291">
        <v>0</v>
      </c>
      <c r="E291">
        <v>1</v>
      </c>
      <c r="F291">
        <v>12</v>
      </c>
      <c r="G291" t="b">
        <v>0</v>
      </c>
      <c r="H291">
        <v>4</v>
      </c>
      <c r="I291">
        <v>1</v>
      </c>
      <c r="J291">
        <v>0.2</v>
      </c>
    </row>
    <row r="292" spans="1:10" x14ac:dyDescent="0.3">
      <c r="A292">
        <v>291</v>
      </c>
      <c r="B292" s="1">
        <v>40556</v>
      </c>
      <c r="C292">
        <v>1</v>
      </c>
      <c r="D292">
        <v>0</v>
      </c>
      <c r="E292">
        <v>1</v>
      </c>
      <c r="F292">
        <v>13</v>
      </c>
      <c r="G292" t="b">
        <v>0</v>
      </c>
      <c r="H292">
        <v>4</v>
      </c>
      <c r="I292">
        <v>1</v>
      </c>
      <c r="J292">
        <v>0.22</v>
      </c>
    </row>
    <row r="293" spans="1:10" x14ac:dyDescent="0.3">
      <c r="A293">
        <v>292</v>
      </c>
      <c r="B293" s="1">
        <v>40556</v>
      </c>
      <c r="C293">
        <v>1</v>
      </c>
      <c r="D293">
        <v>0</v>
      </c>
      <c r="E293">
        <v>1</v>
      </c>
      <c r="F293">
        <v>14</v>
      </c>
      <c r="G293" t="b">
        <v>0</v>
      </c>
      <c r="H293">
        <v>4</v>
      </c>
      <c r="I293">
        <v>1</v>
      </c>
      <c r="J293">
        <v>0.22</v>
      </c>
    </row>
    <row r="294" spans="1:10" x14ac:dyDescent="0.3">
      <c r="A294">
        <v>293</v>
      </c>
      <c r="B294" s="1">
        <v>40556</v>
      </c>
      <c r="C294">
        <v>1</v>
      </c>
      <c r="D294">
        <v>0</v>
      </c>
      <c r="E294">
        <v>1</v>
      </c>
      <c r="F294">
        <v>15</v>
      </c>
      <c r="G294" t="b">
        <v>0</v>
      </c>
      <c r="H294">
        <v>4</v>
      </c>
      <c r="I294">
        <v>1</v>
      </c>
      <c r="J294">
        <v>0.24</v>
      </c>
    </row>
    <row r="295" spans="1:10" x14ac:dyDescent="0.3">
      <c r="A295">
        <v>294</v>
      </c>
      <c r="B295" s="1">
        <v>40556</v>
      </c>
      <c r="C295">
        <v>1</v>
      </c>
      <c r="D295">
        <v>0</v>
      </c>
      <c r="E295">
        <v>1</v>
      </c>
      <c r="F295">
        <v>16</v>
      </c>
      <c r="G295" t="b">
        <v>0</v>
      </c>
      <c r="H295">
        <v>4</v>
      </c>
      <c r="I295">
        <v>1</v>
      </c>
      <c r="J295">
        <v>0.24</v>
      </c>
    </row>
    <row r="296" spans="1:10" x14ac:dyDescent="0.3">
      <c r="A296">
        <v>295</v>
      </c>
      <c r="B296" s="1">
        <v>40556</v>
      </c>
      <c r="C296">
        <v>1</v>
      </c>
      <c r="D296">
        <v>0</v>
      </c>
      <c r="E296">
        <v>1</v>
      </c>
      <c r="F296">
        <v>17</v>
      </c>
      <c r="G296" t="b">
        <v>0</v>
      </c>
      <c r="H296">
        <v>4</v>
      </c>
      <c r="I296">
        <v>1</v>
      </c>
      <c r="J296">
        <v>0.2</v>
      </c>
    </row>
    <row r="297" spans="1:10" x14ac:dyDescent="0.3">
      <c r="A297">
        <v>296</v>
      </c>
      <c r="B297" s="1">
        <v>40556</v>
      </c>
      <c r="C297">
        <v>1</v>
      </c>
      <c r="D297">
        <v>0</v>
      </c>
      <c r="E297">
        <v>1</v>
      </c>
      <c r="F297">
        <v>18</v>
      </c>
      <c r="G297" t="b">
        <v>0</v>
      </c>
      <c r="H297">
        <v>4</v>
      </c>
      <c r="I297">
        <v>1</v>
      </c>
      <c r="J297">
        <v>0.2</v>
      </c>
    </row>
    <row r="298" spans="1:10" x14ac:dyDescent="0.3">
      <c r="A298">
        <v>297</v>
      </c>
      <c r="B298" s="1">
        <v>40556</v>
      </c>
      <c r="C298">
        <v>1</v>
      </c>
      <c r="D298">
        <v>0</v>
      </c>
      <c r="E298">
        <v>1</v>
      </c>
      <c r="F298">
        <v>19</v>
      </c>
      <c r="G298" t="b">
        <v>0</v>
      </c>
      <c r="H298">
        <v>4</v>
      </c>
      <c r="I298">
        <v>1</v>
      </c>
      <c r="J298">
        <v>0.16</v>
      </c>
    </row>
    <row r="299" spans="1:10" x14ac:dyDescent="0.3">
      <c r="A299">
        <v>298</v>
      </c>
      <c r="B299" s="1">
        <v>40556</v>
      </c>
      <c r="C299">
        <v>1</v>
      </c>
      <c r="D299">
        <v>0</v>
      </c>
      <c r="E299">
        <v>1</v>
      </c>
      <c r="F299">
        <v>20</v>
      </c>
      <c r="G299" t="b">
        <v>0</v>
      </c>
      <c r="H299">
        <v>4</v>
      </c>
      <c r="I299">
        <v>1</v>
      </c>
      <c r="J299">
        <v>0.16</v>
      </c>
    </row>
    <row r="300" spans="1:10" x14ac:dyDescent="0.3">
      <c r="A300">
        <v>299</v>
      </c>
      <c r="B300" s="1">
        <v>40556</v>
      </c>
      <c r="C300">
        <v>1</v>
      </c>
      <c r="D300">
        <v>0</v>
      </c>
      <c r="E300">
        <v>1</v>
      </c>
      <c r="F300">
        <v>21</v>
      </c>
      <c r="G300" t="b">
        <v>0</v>
      </c>
      <c r="H300">
        <v>4</v>
      </c>
      <c r="I300">
        <v>1</v>
      </c>
      <c r="J300">
        <v>0.14000000000000001</v>
      </c>
    </row>
    <row r="301" spans="1:10" x14ac:dyDescent="0.3">
      <c r="A301">
        <v>300</v>
      </c>
      <c r="B301" s="1">
        <v>40556</v>
      </c>
      <c r="C301">
        <v>1</v>
      </c>
      <c r="D301">
        <v>0</v>
      </c>
      <c r="E301">
        <v>1</v>
      </c>
      <c r="F301">
        <v>22</v>
      </c>
      <c r="G301" t="b">
        <v>0</v>
      </c>
      <c r="H301">
        <v>4</v>
      </c>
      <c r="I301">
        <v>1</v>
      </c>
      <c r="J301">
        <v>0.14000000000000001</v>
      </c>
    </row>
    <row r="302" spans="1:10" x14ac:dyDescent="0.3">
      <c r="A302">
        <v>301</v>
      </c>
      <c r="B302" s="1">
        <v>40556</v>
      </c>
      <c r="C302">
        <v>1</v>
      </c>
      <c r="D302">
        <v>0</v>
      </c>
      <c r="E302">
        <v>1</v>
      </c>
      <c r="F302">
        <v>23</v>
      </c>
      <c r="G302" t="b">
        <v>0</v>
      </c>
      <c r="H302">
        <v>4</v>
      </c>
      <c r="I302">
        <v>1</v>
      </c>
      <c r="J302">
        <v>0.12</v>
      </c>
    </row>
    <row r="303" spans="1:10" x14ac:dyDescent="0.3">
      <c r="A303">
        <v>302</v>
      </c>
      <c r="B303" s="1">
        <v>40557</v>
      </c>
      <c r="C303">
        <v>1</v>
      </c>
      <c r="D303">
        <v>0</v>
      </c>
      <c r="E303">
        <v>1</v>
      </c>
      <c r="F303">
        <v>0</v>
      </c>
      <c r="G303" t="b">
        <v>0</v>
      </c>
      <c r="H303">
        <v>5</v>
      </c>
      <c r="I303">
        <v>1</v>
      </c>
      <c r="J303">
        <v>0.12</v>
      </c>
    </row>
    <row r="304" spans="1:10" x14ac:dyDescent="0.3">
      <c r="A304">
        <v>303</v>
      </c>
      <c r="B304" s="1">
        <v>40557</v>
      </c>
      <c r="C304">
        <v>1</v>
      </c>
      <c r="D304">
        <v>0</v>
      </c>
      <c r="E304">
        <v>1</v>
      </c>
      <c r="F304">
        <v>1</v>
      </c>
      <c r="G304" t="b">
        <v>0</v>
      </c>
      <c r="H304">
        <v>5</v>
      </c>
      <c r="I304">
        <v>1</v>
      </c>
      <c r="J304">
        <v>0.1</v>
      </c>
    </row>
    <row r="305" spans="1:10" x14ac:dyDescent="0.3">
      <c r="A305">
        <v>304</v>
      </c>
      <c r="B305" s="1">
        <v>40557</v>
      </c>
      <c r="C305">
        <v>1</v>
      </c>
      <c r="D305">
        <v>0</v>
      </c>
      <c r="E305">
        <v>1</v>
      </c>
      <c r="F305">
        <v>2</v>
      </c>
      <c r="G305" t="b">
        <v>0</v>
      </c>
      <c r="H305">
        <v>5</v>
      </c>
      <c r="I305">
        <v>1</v>
      </c>
      <c r="J305">
        <v>0.1</v>
      </c>
    </row>
    <row r="306" spans="1:10" x14ac:dyDescent="0.3">
      <c r="A306">
        <v>305</v>
      </c>
      <c r="B306" s="1">
        <v>40557</v>
      </c>
      <c r="C306">
        <v>1</v>
      </c>
      <c r="D306">
        <v>0</v>
      </c>
      <c r="E306">
        <v>1</v>
      </c>
      <c r="F306">
        <v>3</v>
      </c>
      <c r="G306" t="b">
        <v>0</v>
      </c>
      <c r="H306">
        <v>5</v>
      </c>
      <c r="I306">
        <v>1</v>
      </c>
      <c r="J306">
        <v>0.1</v>
      </c>
    </row>
    <row r="307" spans="1:10" x14ac:dyDescent="0.3">
      <c r="A307">
        <v>306</v>
      </c>
      <c r="B307" s="1">
        <v>40557</v>
      </c>
      <c r="C307">
        <v>1</v>
      </c>
      <c r="D307">
        <v>0</v>
      </c>
      <c r="E307">
        <v>1</v>
      </c>
      <c r="F307">
        <v>5</v>
      </c>
      <c r="G307" t="b">
        <v>0</v>
      </c>
      <c r="H307">
        <v>5</v>
      </c>
      <c r="I307">
        <v>1</v>
      </c>
      <c r="J307">
        <v>0.1</v>
      </c>
    </row>
    <row r="308" spans="1:10" x14ac:dyDescent="0.3">
      <c r="A308">
        <v>307</v>
      </c>
      <c r="B308" s="1">
        <v>40557</v>
      </c>
      <c r="C308">
        <v>1</v>
      </c>
      <c r="D308">
        <v>0</v>
      </c>
      <c r="E308">
        <v>1</v>
      </c>
      <c r="F308">
        <v>6</v>
      </c>
      <c r="G308" t="b">
        <v>0</v>
      </c>
      <c r="H308">
        <v>5</v>
      </c>
      <c r="I308">
        <v>1</v>
      </c>
      <c r="J308">
        <v>0.1</v>
      </c>
    </row>
    <row r="309" spans="1:10" x14ac:dyDescent="0.3">
      <c r="A309">
        <v>308</v>
      </c>
      <c r="B309" s="1">
        <v>40557</v>
      </c>
      <c r="C309">
        <v>1</v>
      </c>
      <c r="D309">
        <v>0</v>
      </c>
      <c r="E309">
        <v>1</v>
      </c>
      <c r="F309">
        <v>7</v>
      </c>
      <c r="G309" t="b">
        <v>0</v>
      </c>
      <c r="H309">
        <v>5</v>
      </c>
      <c r="I309">
        <v>1</v>
      </c>
      <c r="J309">
        <v>0.1</v>
      </c>
    </row>
    <row r="310" spans="1:10" x14ac:dyDescent="0.3">
      <c r="A310">
        <v>309</v>
      </c>
      <c r="B310" s="1">
        <v>40557</v>
      </c>
      <c r="C310">
        <v>1</v>
      </c>
      <c r="D310">
        <v>0</v>
      </c>
      <c r="E310">
        <v>1</v>
      </c>
      <c r="F310">
        <v>8</v>
      </c>
      <c r="G310" t="b">
        <v>0</v>
      </c>
      <c r="H310">
        <v>5</v>
      </c>
      <c r="I310">
        <v>1</v>
      </c>
      <c r="J310">
        <v>0.12</v>
      </c>
    </row>
    <row r="311" spans="1:10" x14ac:dyDescent="0.3">
      <c r="A311">
        <v>310</v>
      </c>
      <c r="B311" s="1">
        <v>40557</v>
      </c>
      <c r="C311">
        <v>1</v>
      </c>
      <c r="D311">
        <v>0</v>
      </c>
      <c r="E311">
        <v>1</v>
      </c>
      <c r="F311">
        <v>9</v>
      </c>
      <c r="G311" t="b">
        <v>0</v>
      </c>
      <c r="H311">
        <v>5</v>
      </c>
      <c r="I311">
        <v>1</v>
      </c>
      <c r="J311">
        <v>0.14000000000000001</v>
      </c>
    </row>
    <row r="312" spans="1:10" x14ac:dyDescent="0.3">
      <c r="A312">
        <v>311</v>
      </c>
      <c r="B312" s="1">
        <v>40557</v>
      </c>
      <c r="C312">
        <v>1</v>
      </c>
      <c r="D312">
        <v>0</v>
      </c>
      <c r="E312">
        <v>1</v>
      </c>
      <c r="F312">
        <v>10</v>
      </c>
      <c r="G312" t="b">
        <v>0</v>
      </c>
      <c r="H312">
        <v>5</v>
      </c>
      <c r="I312">
        <v>1</v>
      </c>
      <c r="J312">
        <v>0.18</v>
      </c>
    </row>
    <row r="313" spans="1:10" x14ac:dyDescent="0.3">
      <c r="A313">
        <v>312</v>
      </c>
      <c r="B313" s="1">
        <v>40557</v>
      </c>
      <c r="C313">
        <v>1</v>
      </c>
      <c r="D313">
        <v>0</v>
      </c>
      <c r="E313">
        <v>1</v>
      </c>
      <c r="F313">
        <v>11</v>
      </c>
      <c r="G313" t="b">
        <v>0</v>
      </c>
      <c r="H313">
        <v>5</v>
      </c>
      <c r="I313">
        <v>1</v>
      </c>
      <c r="J313">
        <v>0.18</v>
      </c>
    </row>
    <row r="314" spans="1:10" x14ac:dyDescent="0.3">
      <c r="A314">
        <v>313</v>
      </c>
      <c r="B314" s="1">
        <v>40557</v>
      </c>
      <c r="C314">
        <v>1</v>
      </c>
      <c r="D314">
        <v>0</v>
      </c>
      <c r="E314">
        <v>1</v>
      </c>
      <c r="F314">
        <v>12</v>
      </c>
      <c r="G314" t="b">
        <v>0</v>
      </c>
      <c r="H314">
        <v>5</v>
      </c>
      <c r="I314">
        <v>1</v>
      </c>
      <c r="J314">
        <v>0.2</v>
      </c>
    </row>
    <row r="315" spans="1:10" x14ac:dyDescent="0.3">
      <c r="A315">
        <v>314</v>
      </c>
      <c r="B315" s="1">
        <v>40557</v>
      </c>
      <c r="C315">
        <v>1</v>
      </c>
      <c r="D315">
        <v>0</v>
      </c>
      <c r="E315">
        <v>1</v>
      </c>
      <c r="F315">
        <v>13</v>
      </c>
      <c r="G315" t="b">
        <v>0</v>
      </c>
      <c r="H315">
        <v>5</v>
      </c>
      <c r="I315">
        <v>1</v>
      </c>
      <c r="J315">
        <v>0.22</v>
      </c>
    </row>
    <row r="316" spans="1:10" x14ac:dyDescent="0.3">
      <c r="A316">
        <v>315</v>
      </c>
      <c r="B316" s="1">
        <v>40557</v>
      </c>
      <c r="C316">
        <v>1</v>
      </c>
      <c r="D316">
        <v>0</v>
      </c>
      <c r="E316">
        <v>1</v>
      </c>
      <c r="F316">
        <v>14</v>
      </c>
      <c r="G316" t="b">
        <v>0</v>
      </c>
      <c r="H316">
        <v>5</v>
      </c>
      <c r="I316">
        <v>1</v>
      </c>
      <c r="J316">
        <v>0.22</v>
      </c>
    </row>
    <row r="317" spans="1:10" x14ac:dyDescent="0.3">
      <c r="A317">
        <v>316</v>
      </c>
      <c r="B317" s="1">
        <v>40557</v>
      </c>
      <c r="C317">
        <v>1</v>
      </c>
      <c r="D317">
        <v>0</v>
      </c>
      <c r="E317">
        <v>1</v>
      </c>
      <c r="F317">
        <v>15</v>
      </c>
      <c r="G317" t="b">
        <v>0</v>
      </c>
      <c r="H317">
        <v>5</v>
      </c>
      <c r="I317">
        <v>1</v>
      </c>
      <c r="J317">
        <v>0.24</v>
      </c>
    </row>
    <row r="318" spans="1:10" x14ac:dyDescent="0.3">
      <c r="A318">
        <v>317</v>
      </c>
      <c r="B318" s="1">
        <v>40557</v>
      </c>
      <c r="C318">
        <v>1</v>
      </c>
      <c r="D318">
        <v>0</v>
      </c>
      <c r="E318">
        <v>1</v>
      </c>
      <c r="F318">
        <v>16</v>
      </c>
      <c r="G318" t="b">
        <v>0</v>
      </c>
      <c r="H318">
        <v>5</v>
      </c>
      <c r="I318">
        <v>1</v>
      </c>
      <c r="J318">
        <v>0.22</v>
      </c>
    </row>
    <row r="319" spans="1:10" x14ac:dyDescent="0.3">
      <c r="A319">
        <v>318</v>
      </c>
      <c r="B319" s="1">
        <v>40557</v>
      </c>
      <c r="C319">
        <v>1</v>
      </c>
      <c r="D319">
        <v>0</v>
      </c>
      <c r="E319">
        <v>1</v>
      </c>
      <c r="F319">
        <v>17</v>
      </c>
      <c r="G319" t="b">
        <v>0</v>
      </c>
      <c r="H319">
        <v>5</v>
      </c>
      <c r="I319">
        <v>1</v>
      </c>
      <c r="J319">
        <v>0.22</v>
      </c>
    </row>
    <row r="320" spans="1:10" x14ac:dyDescent="0.3">
      <c r="A320">
        <v>319</v>
      </c>
      <c r="B320" s="1">
        <v>40557</v>
      </c>
      <c r="C320">
        <v>1</v>
      </c>
      <c r="D320">
        <v>0</v>
      </c>
      <c r="E320">
        <v>1</v>
      </c>
      <c r="F320">
        <v>18</v>
      </c>
      <c r="G320" t="b">
        <v>0</v>
      </c>
      <c r="H320">
        <v>5</v>
      </c>
      <c r="I320">
        <v>1</v>
      </c>
      <c r="J320">
        <v>0.2</v>
      </c>
    </row>
    <row r="321" spans="1:10" x14ac:dyDescent="0.3">
      <c r="A321">
        <v>320</v>
      </c>
      <c r="B321" s="1">
        <v>40557</v>
      </c>
      <c r="C321">
        <v>1</v>
      </c>
      <c r="D321">
        <v>0</v>
      </c>
      <c r="E321">
        <v>1</v>
      </c>
      <c r="F321">
        <v>19</v>
      </c>
      <c r="G321" t="b">
        <v>0</v>
      </c>
      <c r="H321">
        <v>5</v>
      </c>
      <c r="I321">
        <v>1</v>
      </c>
      <c r="J321">
        <v>0.16</v>
      </c>
    </row>
    <row r="322" spans="1:10" x14ac:dyDescent="0.3">
      <c r="A322">
        <v>321</v>
      </c>
      <c r="B322" s="1">
        <v>40557</v>
      </c>
      <c r="C322">
        <v>1</v>
      </c>
      <c r="D322">
        <v>0</v>
      </c>
      <c r="E322">
        <v>1</v>
      </c>
      <c r="F322">
        <v>20</v>
      </c>
      <c r="G322" t="b">
        <v>0</v>
      </c>
      <c r="H322">
        <v>5</v>
      </c>
      <c r="I322">
        <v>1</v>
      </c>
      <c r="J322">
        <v>0.18</v>
      </c>
    </row>
    <row r="323" spans="1:10" x14ac:dyDescent="0.3">
      <c r="A323">
        <v>322</v>
      </c>
      <c r="B323" s="1">
        <v>40557</v>
      </c>
      <c r="C323">
        <v>1</v>
      </c>
      <c r="D323">
        <v>0</v>
      </c>
      <c r="E323">
        <v>1</v>
      </c>
      <c r="F323">
        <v>21</v>
      </c>
      <c r="G323" t="b">
        <v>0</v>
      </c>
      <c r="H323">
        <v>5</v>
      </c>
      <c r="I323">
        <v>1</v>
      </c>
      <c r="J323">
        <v>0.16</v>
      </c>
    </row>
    <row r="324" spans="1:10" x14ac:dyDescent="0.3">
      <c r="A324">
        <v>323</v>
      </c>
      <c r="B324" s="1">
        <v>40557</v>
      </c>
      <c r="C324">
        <v>1</v>
      </c>
      <c r="D324">
        <v>0</v>
      </c>
      <c r="E324">
        <v>1</v>
      </c>
      <c r="F324">
        <v>22</v>
      </c>
      <c r="G324" t="b">
        <v>0</v>
      </c>
      <c r="H324">
        <v>5</v>
      </c>
      <c r="I324">
        <v>2</v>
      </c>
      <c r="J324">
        <v>0.16</v>
      </c>
    </row>
    <row r="325" spans="1:10" x14ac:dyDescent="0.3">
      <c r="A325">
        <v>324</v>
      </c>
      <c r="B325" s="1">
        <v>40557</v>
      </c>
      <c r="C325">
        <v>1</v>
      </c>
      <c r="D325">
        <v>0</v>
      </c>
      <c r="E325">
        <v>1</v>
      </c>
      <c r="F325">
        <v>23</v>
      </c>
      <c r="G325" t="b">
        <v>0</v>
      </c>
      <c r="H325">
        <v>5</v>
      </c>
      <c r="I325">
        <v>2</v>
      </c>
      <c r="J325">
        <v>0.18</v>
      </c>
    </row>
    <row r="326" spans="1:10" x14ac:dyDescent="0.3">
      <c r="A326">
        <v>325</v>
      </c>
      <c r="B326" s="1">
        <v>40558</v>
      </c>
      <c r="C326">
        <v>1</v>
      </c>
      <c r="D326">
        <v>0</v>
      </c>
      <c r="E326">
        <v>1</v>
      </c>
      <c r="F326">
        <v>0</v>
      </c>
      <c r="G326" t="b">
        <v>0</v>
      </c>
      <c r="H326">
        <v>6</v>
      </c>
      <c r="I326">
        <v>1</v>
      </c>
      <c r="J326">
        <v>0.18</v>
      </c>
    </row>
    <row r="327" spans="1:10" x14ac:dyDescent="0.3">
      <c r="A327">
        <v>326</v>
      </c>
      <c r="B327" s="1">
        <v>40558</v>
      </c>
      <c r="C327">
        <v>1</v>
      </c>
      <c r="D327">
        <v>0</v>
      </c>
      <c r="E327">
        <v>1</v>
      </c>
      <c r="F327">
        <v>1</v>
      </c>
      <c r="G327" t="b">
        <v>0</v>
      </c>
      <c r="H327">
        <v>6</v>
      </c>
      <c r="I327">
        <v>2</v>
      </c>
      <c r="J327">
        <v>0.16</v>
      </c>
    </row>
    <row r="328" spans="1:10" x14ac:dyDescent="0.3">
      <c r="A328">
        <v>327</v>
      </c>
      <c r="B328" s="1">
        <v>40558</v>
      </c>
      <c r="C328">
        <v>1</v>
      </c>
      <c r="D328">
        <v>0</v>
      </c>
      <c r="E328">
        <v>1</v>
      </c>
      <c r="F328">
        <v>2</v>
      </c>
      <c r="G328" t="b">
        <v>0</v>
      </c>
      <c r="H328">
        <v>6</v>
      </c>
      <c r="I328">
        <v>2</v>
      </c>
      <c r="J328">
        <v>0.16</v>
      </c>
    </row>
    <row r="329" spans="1:10" x14ac:dyDescent="0.3">
      <c r="A329">
        <v>328</v>
      </c>
      <c r="B329" s="1">
        <v>40558</v>
      </c>
      <c r="C329">
        <v>1</v>
      </c>
      <c r="D329">
        <v>0</v>
      </c>
      <c r="E329">
        <v>1</v>
      </c>
      <c r="F329">
        <v>3</v>
      </c>
      <c r="G329" t="b">
        <v>0</v>
      </c>
      <c r="H329">
        <v>6</v>
      </c>
      <c r="I329">
        <v>2</v>
      </c>
      <c r="J329">
        <v>0.16</v>
      </c>
    </row>
    <row r="330" spans="1:10" x14ac:dyDescent="0.3">
      <c r="A330">
        <v>329</v>
      </c>
      <c r="B330" s="1">
        <v>40558</v>
      </c>
      <c r="C330">
        <v>1</v>
      </c>
      <c r="D330">
        <v>0</v>
      </c>
      <c r="E330">
        <v>1</v>
      </c>
      <c r="F330">
        <v>4</v>
      </c>
      <c r="G330" t="b">
        <v>0</v>
      </c>
      <c r="H330">
        <v>6</v>
      </c>
      <c r="I330">
        <v>2</v>
      </c>
      <c r="J330">
        <v>0.16</v>
      </c>
    </row>
    <row r="331" spans="1:10" x14ac:dyDescent="0.3">
      <c r="A331">
        <v>330</v>
      </c>
      <c r="B331" s="1">
        <v>40558</v>
      </c>
      <c r="C331">
        <v>1</v>
      </c>
      <c r="D331">
        <v>0</v>
      </c>
      <c r="E331">
        <v>1</v>
      </c>
      <c r="F331">
        <v>5</v>
      </c>
      <c r="G331" t="b">
        <v>0</v>
      </c>
      <c r="H331">
        <v>6</v>
      </c>
      <c r="I331">
        <v>1</v>
      </c>
      <c r="J331">
        <v>0.16</v>
      </c>
    </row>
    <row r="332" spans="1:10" x14ac:dyDescent="0.3">
      <c r="A332">
        <v>331</v>
      </c>
      <c r="B332" s="1">
        <v>40558</v>
      </c>
      <c r="C332">
        <v>1</v>
      </c>
      <c r="D332">
        <v>0</v>
      </c>
      <c r="E332">
        <v>1</v>
      </c>
      <c r="F332">
        <v>6</v>
      </c>
      <c r="G332" t="b">
        <v>0</v>
      </c>
      <c r="H332">
        <v>6</v>
      </c>
      <c r="I332">
        <v>1</v>
      </c>
      <c r="J332">
        <v>0.14000000000000001</v>
      </c>
    </row>
    <row r="333" spans="1:10" x14ac:dyDescent="0.3">
      <c r="A333">
        <v>332</v>
      </c>
      <c r="B333" s="1">
        <v>40558</v>
      </c>
      <c r="C333">
        <v>1</v>
      </c>
      <c r="D333">
        <v>0</v>
      </c>
      <c r="E333">
        <v>1</v>
      </c>
      <c r="F333">
        <v>7</v>
      </c>
      <c r="G333" t="b">
        <v>0</v>
      </c>
      <c r="H333">
        <v>6</v>
      </c>
      <c r="I333">
        <v>1</v>
      </c>
      <c r="J333">
        <v>0.14000000000000001</v>
      </c>
    </row>
    <row r="334" spans="1:10" x14ac:dyDescent="0.3">
      <c r="A334">
        <v>333</v>
      </c>
      <c r="B334" s="1">
        <v>40558</v>
      </c>
      <c r="C334">
        <v>1</v>
      </c>
      <c r="D334">
        <v>0</v>
      </c>
      <c r="E334">
        <v>1</v>
      </c>
      <c r="F334">
        <v>8</v>
      </c>
      <c r="G334" t="b">
        <v>0</v>
      </c>
      <c r="H334">
        <v>6</v>
      </c>
      <c r="I334">
        <v>1</v>
      </c>
      <c r="J334">
        <v>0.14000000000000001</v>
      </c>
    </row>
    <row r="335" spans="1:10" x14ac:dyDescent="0.3">
      <c r="A335">
        <v>334</v>
      </c>
      <c r="B335" s="1">
        <v>40558</v>
      </c>
      <c r="C335">
        <v>1</v>
      </c>
      <c r="D335">
        <v>0</v>
      </c>
      <c r="E335">
        <v>1</v>
      </c>
      <c r="F335">
        <v>9</v>
      </c>
      <c r="G335" t="b">
        <v>0</v>
      </c>
      <c r="H335">
        <v>6</v>
      </c>
      <c r="I335">
        <v>1</v>
      </c>
      <c r="J335">
        <v>0.16</v>
      </c>
    </row>
    <row r="336" spans="1:10" x14ac:dyDescent="0.3">
      <c r="A336">
        <v>335</v>
      </c>
      <c r="B336" s="1">
        <v>40558</v>
      </c>
      <c r="C336">
        <v>1</v>
      </c>
      <c r="D336">
        <v>0</v>
      </c>
      <c r="E336">
        <v>1</v>
      </c>
      <c r="F336">
        <v>10</v>
      </c>
      <c r="G336" t="b">
        <v>0</v>
      </c>
      <c r="H336">
        <v>6</v>
      </c>
      <c r="I336">
        <v>1</v>
      </c>
      <c r="J336">
        <v>0.18</v>
      </c>
    </row>
    <row r="337" spans="1:10" x14ac:dyDescent="0.3">
      <c r="A337">
        <v>336</v>
      </c>
      <c r="B337" s="1">
        <v>40558</v>
      </c>
      <c r="C337">
        <v>1</v>
      </c>
      <c r="D337">
        <v>0</v>
      </c>
      <c r="E337">
        <v>1</v>
      </c>
      <c r="F337">
        <v>11</v>
      </c>
      <c r="G337" t="b">
        <v>0</v>
      </c>
      <c r="H337">
        <v>6</v>
      </c>
      <c r="I337">
        <v>1</v>
      </c>
      <c r="J337">
        <v>0.2</v>
      </c>
    </row>
    <row r="338" spans="1:10" x14ac:dyDescent="0.3">
      <c r="A338">
        <v>337</v>
      </c>
      <c r="B338" s="1">
        <v>40558</v>
      </c>
      <c r="C338">
        <v>1</v>
      </c>
      <c r="D338">
        <v>0</v>
      </c>
      <c r="E338">
        <v>1</v>
      </c>
      <c r="F338">
        <v>12</v>
      </c>
      <c r="G338" t="b">
        <v>0</v>
      </c>
      <c r="H338">
        <v>6</v>
      </c>
      <c r="I338">
        <v>1</v>
      </c>
      <c r="J338">
        <v>0.24</v>
      </c>
    </row>
    <row r="339" spans="1:10" x14ac:dyDescent="0.3">
      <c r="A339">
        <v>338</v>
      </c>
      <c r="B339" s="1">
        <v>40558</v>
      </c>
      <c r="C339">
        <v>1</v>
      </c>
      <c r="D339">
        <v>0</v>
      </c>
      <c r="E339">
        <v>1</v>
      </c>
      <c r="F339">
        <v>13</v>
      </c>
      <c r="G339" t="b">
        <v>0</v>
      </c>
      <c r="H339">
        <v>6</v>
      </c>
      <c r="I339">
        <v>1</v>
      </c>
      <c r="J339">
        <v>0.28000000000000003</v>
      </c>
    </row>
    <row r="340" spans="1:10" x14ac:dyDescent="0.3">
      <c r="A340">
        <v>339</v>
      </c>
      <c r="B340" s="1">
        <v>40558</v>
      </c>
      <c r="C340">
        <v>1</v>
      </c>
      <c r="D340">
        <v>0</v>
      </c>
      <c r="E340">
        <v>1</v>
      </c>
      <c r="F340">
        <v>14</v>
      </c>
      <c r="G340" t="b">
        <v>0</v>
      </c>
      <c r="H340">
        <v>6</v>
      </c>
      <c r="I340">
        <v>1</v>
      </c>
      <c r="J340">
        <v>0.3</v>
      </c>
    </row>
    <row r="341" spans="1:10" x14ac:dyDescent="0.3">
      <c r="A341">
        <v>340</v>
      </c>
      <c r="B341" s="1">
        <v>40558</v>
      </c>
      <c r="C341">
        <v>1</v>
      </c>
      <c r="D341">
        <v>0</v>
      </c>
      <c r="E341">
        <v>1</v>
      </c>
      <c r="F341">
        <v>15</v>
      </c>
      <c r="G341" t="b">
        <v>0</v>
      </c>
      <c r="H341">
        <v>6</v>
      </c>
      <c r="I341">
        <v>2</v>
      </c>
      <c r="J341">
        <v>0.32</v>
      </c>
    </row>
    <row r="342" spans="1:10" x14ac:dyDescent="0.3">
      <c r="A342">
        <v>341</v>
      </c>
      <c r="B342" s="1">
        <v>40558</v>
      </c>
      <c r="C342">
        <v>1</v>
      </c>
      <c r="D342">
        <v>0</v>
      </c>
      <c r="E342">
        <v>1</v>
      </c>
      <c r="F342">
        <v>16</v>
      </c>
      <c r="G342" t="b">
        <v>0</v>
      </c>
      <c r="H342">
        <v>6</v>
      </c>
      <c r="I342">
        <v>2</v>
      </c>
      <c r="J342">
        <v>0.34</v>
      </c>
    </row>
    <row r="343" spans="1:10" x14ac:dyDescent="0.3">
      <c r="A343">
        <v>342</v>
      </c>
      <c r="B343" s="1">
        <v>40558</v>
      </c>
      <c r="C343">
        <v>1</v>
      </c>
      <c r="D343">
        <v>0</v>
      </c>
      <c r="E343">
        <v>1</v>
      </c>
      <c r="F343">
        <v>17</v>
      </c>
      <c r="G343" t="b">
        <v>0</v>
      </c>
      <c r="H343">
        <v>6</v>
      </c>
      <c r="I343">
        <v>2</v>
      </c>
      <c r="J343">
        <v>0.32</v>
      </c>
    </row>
    <row r="344" spans="1:10" x14ac:dyDescent="0.3">
      <c r="A344">
        <v>343</v>
      </c>
      <c r="B344" s="1">
        <v>40558</v>
      </c>
      <c r="C344">
        <v>1</v>
      </c>
      <c r="D344">
        <v>0</v>
      </c>
      <c r="E344">
        <v>1</v>
      </c>
      <c r="F344">
        <v>18</v>
      </c>
      <c r="G344" t="b">
        <v>0</v>
      </c>
      <c r="H344">
        <v>6</v>
      </c>
      <c r="I344">
        <v>2</v>
      </c>
      <c r="J344">
        <v>0.3</v>
      </c>
    </row>
    <row r="345" spans="1:10" x14ac:dyDescent="0.3">
      <c r="A345">
        <v>344</v>
      </c>
      <c r="B345" s="1">
        <v>40558</v>
      </c>
      <c r="C345">
        <v>1</v>
      </c>
      <c r="D345">
        <v>0</v>
      </c>
      <c r="E345">
        <v>1</v>
      </c>
      <c r="F345">
        <v>19</v>
      </c>
      <c r="G345" t="b">
        <v>0</v>
      </c>
      <c r="H345">
        <v>6</v>
      </c>
      <c r="I345">
        <v>2</v>
      </c>
      <c r="J345">
        <v>0.32</v>
      </c>
    </row>
    <row r="346" spans="1:10" x14ac:dyDescent="0.3">
      <c r="A346">
        <v>345</v>
      </c>
      <c r="B346" s="1">
        <v>40558</v>
      </c>
      <c r="C346">
        <v>1</v>
      </c>
      <c r="D346">
        <v>0</v>
      </c>
      <c r="E346">
        <v>1</v>
      </c>
      <c r="F346">
        <v>20</v>
      </c>
      <c r="G346" t="b">
        <v>0</v>
      </c>
      <c r="H346">
        <v>6</v>
      </c>
      <c r="I346">
        <v>2</v>
      </c>
      <c r="J346">
        <v>0.32</v>
      </c>
    </row>
    <row r="347" spans="1:10" x14ac:dyDescent="0.3">
      <c r="A347">
        <v>346</v>
      </c>
      <c r="B347" s="1">
        <v>40558</v>
      </c>
      <c r="C347">
        <v>1</v>
      </c>
      <c r="D347">
        <v>0</v>
      </c>
      <c r="E347">
        <v>1</v>
      </c>
      <c r="F347">
        <v>21</v>
      </c>
      <c r="G347" t="b">
        <v>0</v>
      </c>
      <c r="H347">
        <v>6</v>
      </c>
      <c r="I347">
        <v>2</v>
      </c>
      <c r="J347">
        <v>0.32</v>
      </c>
    </row>
    <row r="348" spans="1:10" x14ac:dyDescent="0.3">
      <c r="A348">
        <v>347</v>
      </c>
      <c r="B348" s="1">
        <v>40558</v>
      </c>
      <c r="C348">
        <v>1</v>
      </c>
      <c r="D348">
        <v>0</v>
      </c>
      <c r="E348">
        <v>1</v>
      </c>
      <c r="F348">
        <v>22</v>
      </c>
      <c r="G348" t="b">
        <v>0</v>
      </c>
      <c r="H348">
        <v>6</v>
      </c>
      <c r="I348">
        <v>2</v>
      </c>
      <c r="J348">
        <v>0.3</v>
      </c>
    </row>
    <row r="349" spans="1:10" x14ac:dyDescent="0.3">
      <c r="A349">
        <v>348</v>
      </c>
      <c r="B349" s="1">
        <v>40558</v>
      </c>
      <c r="C349">
        <v>1</v>
      </c>
      <c r="D349">
        <v>0</v>
      </c>
      <c r="E349">
        <v>1</v>
      </c>
      <c r="F349">
        <v>23</v>
      </c>
      <c r="G349" t="b">
        <v>0</v>
      </c>
      <c r="H349">
        <v>6</v>
      </c>
      <c r="I349">
        <v>1</v>
      </c>
      <c r="J349">
        <v>0.3</v>
      </c>
    </row>
    <row r="350" spans="1:10" x14ac:dyDescent="0.3">
      <c r="A350">
        <v>349</v>
      </c>
      <c r="B350" s="1">
        <v>40559</v>
      </c>
      <c r="C350">
        <v>1</v>
      </c>
      <c r="D350">
        <v>0</v>
      </c>
      <c r="E350">
        <v>1</v>
      </c>
      <c r="F350">
        <v>0</v>
      </c>
      <c r="G350" t="b">
        <v>0</v>
      </c>
      <c r="H350">
        <v>0</v>
      </c>
      <c r="I350">
        <v>1</v>
      </c>
      <c r="J350">
        <v>0.26</v>
      </c>
    </row>
    <row r="351" spans="1:10" x14ac:dyDescent="0.3">
      <c r="A351">
        <v>350</v>
      </c>
      <c r="B351" s="1">
        <v>40559</v>
      </c>
      <c r="C351">
        <v>1</v>
      </c>
      <c r="D351">
        <v>0</v>
      </c>
      <c r="E351">
        <v>1</v>
      </c>
      <c r="F351">
        <v>1</v>
      </c>
      <c r="G351" t="b">
        <v>0</v>
      </c>
      <c r="H351">
        <v>0</v>
      </c>
      <c r="I351">
        <v>1</v>
      </c>
      <c r="J351">
        <v>0.26</v>
      </c>
    </row>
    <row r="352" spans="1:10" x14ac:dyDescent="0.3">
      <c r="A352">
        <v>351</v>
      </c>
      <c r="B352" s="1">
        <v>40559</v>
      </c>
      <c r="C352">
        <v>1</v>
      </c>
      <c r="D352">
        <v>0</v>
      </c>
      <c r="E352">
        <v>1</v>
      </c>
      <c r="F352">
        <v>2</v>
      </c>
      <c r="G352" t="b">
        <v>0</v>
      </c>
      <c r="H352">
        <v>0</v>
      </c>
      <c r="I352">
        <v>1</v>
      </c>
      <c r="J352">
        <v>0.26</v>
      </c>
    </row>
    <row r="353" spans="1:10" x14ac:dyDescent="0.3">
      <c r="A353">
        <v>352</v>
      </c>
      <c r="B353" s="1">
        <v>40559</v>
      </c>
      <c r="C353">
        <v>1</v>
      </c>
      <c r="D353">
        <v>0</v>
      </c>
      <c r="E353">
        <v>1</v>
      </c>
      <c r="F353">
        <v>3</v>
      </c>
      <c r="G353" t="b">
        <v>0</v>
      </c>
      <c r="H353">
        <v>0</v>
      </c>
      <c r="I353">
        <v>1</v>
      </c>
      <c r="J353">
        <v>0.22</v>
      </c>
    </row>
    <row r="354" spans="1:10" x14ac:dyDescent="0.3">
      <c r="A354">
        <v>353</v>
      </c>
      <c r="B354" s="1">
        <v>40559</v>
      </c>
      <c r="C354">
        <v>1</v>
      </c>
      <c r="D354">
        <v>0</v>
      </c>
      <c r="E354">
        <v>1</v>
      </c>
      <c r="F354">
        <v>4</v>
      </c>
      <c r="G354" t="b">
        <v>0</v>
      </c>
      <c r="H354">
        <v>0</v>
      </c>
      <c r="I354">
        <v>1</v>
      </c>
      <c r="J354">
        <v>0.26</v>
      </c>
    </row>
    <row r="355" spans="1:10" x14ac:dyDescent="0.3">
      <c r="A355">
        <v>354</v>
      </c>
      <c r="B355" s="1">
        <v>40559</v>
      </c>
      <c r="C355">
        <v>1</v>
      </c>
      <c r="D355">
        <v>0</v>
      </c>
      <c r="E355">
        <v>1</v>
      </c>
      <c r="F355">
        <v>5</v>
      </c>
      <c r="G355" t="b">
        <v>0</v>
      </c>
      <c r="H355">
        <v>0</v>
      </c>
      <c r="I355">
        <v>2</v>
      </c>
      <c r="J355">
        <v>0.26</v>
      </c>
    </row>
    <row r="356" spans="1:10" x14ac:dyDescent="0.3">
      <c r="A356">
        <v>355</v>
      </c>
      <c r="B356" s="1">
        <v>40559</v>
      </c>
      <c r="C356">
        <v>1</v>
      </c>
      <c r="D356">
        <v>0</v>
      </c>
      <c r="E356">
        <v>1</v>
      </c>
      <c r="F356">
        <v>6</v>
      </c>
      <c r="G356" t="b">
        <v>0</v>
      </c>
      <c r="H356">
        <v>0</v>
      </c>
      <c r="I356">
        <v>2</v>
      </c>
      <c r="J356">
        <v>0.26</v>
      </c>
    </row>
    <row r="357" spans="1:10" x14ac:dyDescent="0.3">
      <c r="A357">
        <v>356</v>
      </c>
      <c r="B357" s="1">
        <v>40559</v>
      </c>
      <c r="C357">
        <v>1</v>
      </c>
      <c r="D357">
        <v>0</v>
      </c>
      <c r="E357">
        <v>1</v>
      </c>
      <c r="F357">
        <v>7</v>
      </c>
      <c r="G357" t="b">
        <v>0</v>
      </c>
      <c r="H357">
        <v>0</v>
      </c>
      <c r="I357">
        <v>2</v>
      </c>
      <c r="J357">
        <v>0.24</v>
      </c>
    </row>
    <row r="358" spans="1:10" x14ac:dyDescent="0.3">
      <c r="A358">
        <v>357</v>
      </c>
      <c r="B358" s="1">
        <v>40559</v>
      </c>
      <c r="C358">
        <v>1</v>
      </c>
      <c r="D358">
        <v>0</v>
      </c>
      <c r="E358">
        <v>1</v>
      </c>
      <c r="F358">
        <v>8</v>
      </c>
      <c r="G358" t="b">
        <v>0</v>
      </c>
      <c r="H358">
        <v>0</v>
      </c>
      <c r="I358">
        <v>1</v>
      </c>
      <c r="J358">
        <v>0.22</v>
      </c>
    </row>
    <row r="359" spans="1:10" x14ac:dyDescent="0.3">
      <c r="A359">
        <v>358</v>
      </c>
      <c r="B359" s="1">
        <v>40559</v>
      </c>
      <c r="C359">
        <v>1</v>
      </c>
      <c r="D359">
        <v>0</v>
      </c>
      <c r="E359">
        <v>1</v>
      </c>
      <c r="F359">
        <v>9</v>
      </c>
      <c r="G359" t="b">
        <v>0</v>
      </c>
      <c r="H359">
        <v>0</v>
      </c>
      <c r="I359">
        <v>1</v>
      </c>
      <c r="J359">
        <v>0.22</v>
      </c>
    </row>
    <row r="360" spans="1:10" x14ac:dyDescent="0.3">
      <c r="A360">
        <v>359</v>
      </c>
      <c r="B360" s="1">
        <v>40559</v>
      </c>
      <c r="C360">
        <v>1</v>
      </c>
      <c r="D360">
        <v>0</v>
      </c>
      <c r="E360">
        <v>1</v>
      </c>
      <c r="F360">
        <v>10</v>
      </c>
      <c r="G360" t="b">
        <v>0</v>
      </c>
      <c r="H360">
        <v>0</v>
      </c>
      <c r="I360">
        <v>1</v>
      </c>
      <c r="J360">
        <v>0.22</v>
      </c>
    </row>
    <row r="361" spans="1:10" x14ac:dyDescent="0.3">
      <c r="A361">
        <v>360</v>
      </c>
      <c r="B361" s="1">
        <v>40559</v>
      </c>
      <c r="C361">
        <v>1</v>
      </c>
      <c r="D361">
        <v>0</v>
      </c>
      <c r="E361">
        <v>1</v>
      </c>
      <c r="F361">
        <v>11</v>
      </c>
      <c r="G361" t="b">
        <v>0</v>
      </c>
      <c r="H361">
        <v>0</v>
      </c>
      <c r="I361">
        <v>1</v>
      </c>
      <c r="J361">
        <v>0.24</v>
      </c>
    </row>
    <row r="362" spans="1:10" x14ac:dyDescent="0.3">
      <c r="A362">
        <v>361</v>
      </c>
      <c r="B362" s="1">
        <v>40559</v>
      </c>
      <c r="C362">
        <v>1</v>
      </c>
      <c r="D362">
        <v>0</v>
      </c>
      <c r="E362">
        <v>1</v>
      </c>
      <c r="F362">
        <v>12</v>
      </c>
      <c r="G362" t="b">
        <v>0</v>
      </c>
      <c r="H362">
        <v>0</v>
      </c>
      <c r="I362">
        <v>1</v>
      </c>
      <c r="J362">
        <v>0.24</v>
      </c>
    </row>
    <row r="363" spans="1:10" x14ac:dyDescent="0.3">
      <c r="A363">
        <v>362</v>
      </c>
      <c r="B363" s="1">
        <v>40559</v>
      </c>
      <c r="C363">
        <v>1</v>
      </c>
      <c r="D363">
        <v>0</v>
      </c>
      <c r="E363">
        <v>1</v>
      </c>
      <c r="F363">
        <v>13</v>
      </c>
      <c r="G363" t="b">
        <v>0</v>
      </c>
      <c r="H363">
        <v>0</v>
      </c>
      <c r="I363">
        <v>1</v>
      </c>
      <c r="J363">
        <v>0.26</v>
      </c>
    </row>
    <row r="364" spans="1:10" x14ac:dyDescent="0.3">
      <c r="A364">
        <v>363</v>
      </c>
      <c r="B364" s="1">
        <v>40559</v>
      </c>
      <c r="C364">
        <v>1</v>
      </c>
      <c r="D364">
        <v>0</v>
      </c>
      <c r="E364">
        <v>1</v>
      </c>
      <c r="F364">
        <v>14</v>
      </c>
      <c r="G364" t="b">
        <v>0</v>
      </c>
      <c r="H364">
        <v>0</v>
      </c>
      <c r="I364">
        <v>1</v>
      </c>
      <c r="J364">
        <v>0.28000000000000003</v>
      </c>
    </row>
    <row r="365" spans="1:10" x14ac:dyDescent="0.3">
      <c r="A365">
        <v>364</v>
      </c>
      <c r="B365" s="1">
        <v>40559</v>
      </c>
      <c r="C365">
        <v>1</v>
      </c>
      <c r="D365">
        <v>0</v>
      </c>
      <c r="E365">
        <v>1</v>
      </c>
      <c r="F365">
        <v>15</v>
      </c>
      <c r="G365" t="b">
        <v>0</v>
      </c>
      <c r="H365">
        <v>0</v>
      </c>
      <c r="I365">
        <v>1</v>
      </c>
      <c r="J365">
        <v>0.26</v>
      </c>
    </row>
    <row r="366" spans="1:10" x14ac:dyDescent="0.3">
      <c r="A366">
        <v>365</v>
      </c>
      <c r="B366" s="1">
        <v>40559</v>
      </c>
      <c r="C366">
        <v>1</v>
      </c>
      <c r="D366">
        <v>0</v>
      </c>
      <c r="E366">
        <v>1</v>
      </c>
      <c r="F366">
        <v>16</v>
      </c>
      <c r="G366" t="b">
        <v>0</v>
      </c>
      <c r="H366">
        <v>0</v>
      </c>
      <c r="I366">
        <v>1</v>
      </c>
      <c r="J366">
        <v>0.24</v>
      </c>
    </row>
    <row r="367" spans="1:10" x14ac:dyDescent="0.3">
      <c r="A367">
        <v>366</v>
      </c>
      <c r="B367" s="1">
        <v>40559</v>
      </c>
      <c r="C367">
        <v>1</v>
      </c>
      <c r="D367">
        <v>0</v>
      </c>
      <c r="E367">
        <v>1</v>
      </c>
      <c r="F367">
        <v>17</v>
      </c>
      <c r="G367" t="b">
        <v>0</v>
      </c>
      <c r="H367">
        <v>0</v>
      </c>
      <c r="I367">
        <v>1</v>
      </c>
      <c r="J367">
        <v>0.22</v>
      </c>
    </row>
    <row r="368" spans="1:10" x14ac:dyDescent="0.3">
      <c r="A368">
        <v>367</v>
      </c>
      <c r="B368" s="1">
        <v>40559</v>
      </c>
      <c r="C368">
        <v>1</v>
      </c>
      <c r="D368">
        <v>0</v>
      </c>
      <c r="E368">
        <v>1</v>
      </c>
      <c r="F368">
        <v>18</v>
      </c>
      <c r="G368" t="b">
        <v>0</v>
      </c>
      <c r="H368">
        <v>0</v>
      </c>
      <c r="I368">
        <v>1</v>
      </c>
      <c r="J368">
        <v>0.2</v>
      </c>
    </row>
    <row r="369" spans="1:10" x14ac:dyDescent="0.3">
      <c r="A369">
        <v>368</v>
      </c>
      <c r="B369" s="1">
        <v>40559</v>
      </c>
      <c r="C369">
        <v>1</v>
      </c>
      <c r="D369">
        <v>0</v>
      </c>
      <c r="E369">
        <v>1</v>
      </c>
      <c r="F369">
        <v>19</v>
      </c>
      <c r="G369" t="b">
        <v>0</v>
      </c>
      <c r="H369">
        <v>0</v>
      </c>
      <c r="I369">
        <v>1</v>
      </c>
      <c r="J369">
        <v>0.18</v>
      </c>
    </row>
    <row r="370" spans="1:10" x14ac:dyDescent="0.3">
      <c r="A370">
        <v>369</v>
      </c>
      <c r="B370" s="1">
        <v>40559</v>
      </c>
      <c r="C370">
        <v>1</v>
      </c>
      <c r="D370">
        <v>0</v>
      </c>
      <c r="E370">
        <v>1</v>
      </c>
      <c r="F370">
        <v>20</v>
      </c>
      <c r="G370" t="b">
        <v>0</v>
      </c>
      <c r="H370">
        <v>0</v>
      </c>
      <c r="I370">
        <v>1</v>
      </c>
      <c r="J370">
        <v>0.18</v>
      </c>
    </row>
    <row r="371" spans="1:10" x14ac:dyDescent="0.3">
      <c r="A371">
        <v>370</v>
      </c>
      <c r="B371" s="1">
        <v>40559</v>
      </c>
      <c r="C371">
        <v>1</v>
      </c>
      <c r="D371">
        <v>0</v>
      </c>
      <c r="E371">
        <v>1</v>
      </c>
      <c r="F371">
        <v>21</v>
      </c>
      <c r="G371" t="b">
        <v>0</v>
      </c>
      <c r="H371">
        <v>0</v>
      </c>
      <c r="I371">
        <v>1</v>
      </c>
      <c r="J371">
        <v>0.18</v>
      </c>
    </row>
    <row r="372" spans="1:10" x14ac:dyDescent="0.3">
      <c r="A372">
        <v>371</v>
      </c>
      <c r="B372" s="1">
        <v>40559</v>
      </c>
      <c r="C372">
        <v>1</v>
      </c>
      <c r="D372">
        <v>0</v>
      </c>
      <c r="E372">
        <v>1</v>
      </c>
      <c r="F372">
        <v>22</v>
      </c>
      <c r="G372" t="b">
        <v>0</v>
      </c>
      <c r="H372">
        <v>0</v>
      </c>
      <c r="I372">
        <v>2</v>
      </c>
      <c r="J372">
        <v>0.2</v>
      </c>
    </row>
    <row r="373" spans="1:10" x14ac:dyDescent="0.3">
      <c r="A373">
        <v>372</v>
      </c>
      <c r="B373" s="1">
        <v>40559</v>
      </c>
      <c r="C373">
        <v>1</v>
      </c>
      <c r="D373">
        <v>0</v>
      </c>
      <c r="E373">
        <v>1</v>
      </c>
      <c r="F373">
        <v>23</v>
      </c>
      <c r="G373" t="b">
        <v>0</v>
      </c>
      <c r="H373">
        <v>0</v>
      </c>
      <c r="I373">
        <v>2</v>
      </c>
      <c r="J373">
        <v>0.2</v>
      </c>
    </row>
    <row r="374" spans="1:10" x14ac:dyDescent="0.3">
      <c r="A374">
        <v>373</v>
      </c>
      <c r="B374" s="1">
        <v>40560</v>
      </c>
      <c r="C374">
        <v>1</v>
      </c>
      <c r="D374">
        <v>0</v>
      </c>
      <c r="E374">
        <v>1</v>
      </c>
      <c r="F374">
        <v>0</v>
      </c>
      <c r="G374" t="b">
        <v>1</v>
      </c>
      <c r="H374">
        <v>1</v>
      </c>
      <c r="I374">
        <v>2</v>
      </c>
      <c r="J374">
        <v>0.2</v>
      </c>
    </row>
    <row r="375" spans="1:10" x14ac:dyDescent="0.3">
      <c r="A375">
        <v>374</v>
      </c>
      <c r="B375" s="1">
        <v>40560</v>
      </c>
      <c r="C375">
        <v>1</v>
      </c>
      <c r="D375">
        <v>0</v>
      </c>
      <c r="E375">
        <v>1</v>
      </c>
      <c r="F375">
        <v>1</v>
      </c>
      <c r="G375" t="b">
        <v>1</v>
      </c>
      <c r="H375">
        <v>1</v>
      </c>
      <c r="I375">
        <v>2</v>
      </c>
      <c r="J375">
        <v>0.2</v>
      </c>
    </row>
    <row r="376" spans="1:10" x14ac:dyDescent="0.3">
      <c r="A376">
        <v>375</v>
      </c>
      <c r="B376" s="1">
        <v>40560</v>
      </c>
      <c r="C376">
        <v>1</v>
      </c>
      <c r="D376">
        <v>0</v>
      </c>
      <c r="E376">
        <v>1</v>
      </c>
      <c r="F376">
        <v>2</v>
      </c>
      <c r="G376" t="b">
        <v>1</v>
      </c>
      <c r="H376">
        <v>1</v>
      </c>
      <c r="I376">
        <v>2</v>
      </c>
      <c r="J376">
        <v>0.18</v>
      </c>
    </row>
    <row r="377" spans="1:10" x14ac:dyDescent="0.3">
      <c r="A377">
        <v>376</v>
      </c>
      <c r="B377" s="1">
        <v>40560</v>
      </c>
      <c r="C377">
        <v>1</v>
      </c>
      <c r="D377">
        <v>0</v>
      </c>
      <c r="E377">
        <v>1</v>
      </c>
      <c r="F377">
        <v>3</v>
      </c>
      <c r="G377" t="b">
        <v>1</v>
      </c>
      <c r="H377">
        <v>1</v>
      </c>
      <c r="I377">
        <v>2</v>
      </c>
      <c r="J377">
        <v>0.18</v>
      </c>
    </row>
    <row r="378" spans="1:10" x14ac:dyDescent="0.3">
      <c r="A378">
        <v>377</v>
      </c>
      <c r="B378" s="1">
        <v>40560</v>
      </c>
      <c r="C378">
        <v>1</v>
      </c>
      <c r="D378">
        <v>0</v>
      </c>
      <c r="E378">
        <v>1</v>
      </c>
      <c r="F378">
        <v>4</v>
      </c>
      <c r="G378" t="b">
        <v>1</v>
      </c>
      <c r="H378">
        <v>1</v>
      </c>
      <c r="I378">
        <v>2</v>
      </c>
      <c r="J378">
        <v>0.18</v>
      </c>
    </row>
    <row r="379" spans="1:10" x14ac:dyDescent="0.3">
      <c r="A379">
        <v>378</v>
      </c>
      <c r="B379" s="1">
        <v>40560</v>
      </c>
      <c r="C379">
        <v>1</v>
      </c>
      <c r="D379">
        <v>0</v>
      </c>
      <c r="E379">
        <v>1</v>
      </c>
      <c r="F379">
        <v>5</v>
      </c>
      <c r="G379" t="b">
        <v>1</v>
      </c>
      <c r="H379">
        <v>1</v>
      </c>
      <c r="I379">
        <v>2</v>
      </c>
      <c r="J379">
        <v>0.18</v>
      </c>
    </row>
    <row r="380" spans="1:10" x14ac:dyDescent="0.3">
      <c r="A380">
        <v>379</v>
      </c>
      <c r="B380" s="1">
        <v>40560</v>
      </c>
      <c r="C380">
        <v>1</v>
      </c>
      <c r="D380">
        <v>0</v>
      </c>
      <c r="E380">
        <v>1</v>
      </c>
      <c r="F380">
        <v>6</v>
      </c>
      <c r="G380" t="b">
        <v>1</v>
      </c>
      <c r="H380">
        <v>1</v>
      </c>
      <c r="I380">
        <v>2</v>
      </c>
      <c r="J380">
        <v>0.18</v>
      </c>
    </row>
    <row r="381" spans="1:10" x14ac:dyDescent="0.3">
      <c r="A381">
        <v>380</v>
      </c>
      <c r="B381" s="1">
        <v>40560</v>
      </c>
      <c r="C381">
        <v>1</v>
      </c>
      <c r="D381">
        <v>0</v>
      </c>
      <c r="E381">
        <v>1</v>
      </c>
      <c r="F381">
        <v>7</v>
      </c>
      <c r="G381" t="b">
        <v>1</v>
      </c>
      <c r="H381">
        <v>1</v>
      </c>
      <c r="I381">
        <v>2</v>
      </c>
      <c r="J381">
        <v>0.16</v>
      </c>
    </row>
    <row r="382" spans="1:10" x14ac:dyDescent="0.3">
      <c r="A382">
        <v>381</v>
      </c>
      <c r="B382" s="1">
        <v>40560</v>
      </c>
      <c r="C382">
        <v>1</v>
      </c>
      <c r="D382">
        <v>0</v>
      </c>
      <c r="E382">
        <v>1</v>
      </c>
      <c r="F382">
        <v>8</v>
      </c>
      <c r="G382" t="b">
        <v>1</v>
      </c>
      <c r="H382">
        <v>1</v>
      </c>
      <c r="I382">
        <v>2</v>
      </c>
      <c r="J382">
        <v>0.16</v>
      </c>
    </row>
    <row r="383" spans="1:10" x14ac:dyDescent="0.3">
      <c r="A383">
        <v>382</v>
      </c>
      <c r="B383" s="1">
        <v>40560</v>
      </c>
      <c r="C383">
        <v>1</v>
      </c>
      <c r="D383">
        <v>0</v>
      </c>
      <c r="E383">
        <v>1</v>
      </c>
      <c r="F383">
        <v>9</v>
      </c>
      <c r="G383" t="b">
        <v>1</v>
      </c>
      <c r="H383">
        <v>1</v>
      </c>
      <c r="I383">
        <v>2</v>
      </c>
      <c r="J383">
        <v>0.16</v>
      </c>
    </row>
    <row r="384" spans="1:10" x14ac:dyDescent="0.3">
      <c r="A384">
        <v>383</v>
      </c>
      <c r="B384" s="1">
        <v>40560</v>
      </c>
      <c r="C384">
        <v>1</v>
      </c>
      <c r="D384">
        <v>0</v>
      </c>
      <c r="E384">
        <v>1</v>
      </c>
      <c r="F384">
        <v>10</v>
      </c>
      <c r="G384" t="b">
        <v>1</v>
      </c>
      <c r="H384">
        <v>1</v>
      </c>
      <c r="I384">
        <v>2</v>
      </c>
      <c r="J384">
        <v>0.16</v>
      </c>
    </row>
    <row r="385" spans="1:10" x14ac:dyDescent="0.3">
      <c r="A385">
        <v>384</v>
      </c>
      <c r="B385" s="1">
        <v>40560</v>
      </c>
      <c r="C385">
        <v>1</v>
      </c>
      <c r="D385">
        <v>0</v>
      </c>
      <c r="E385">
        <v>1</v>
      </c>
      <c r="F385">
        <v>11</v>
      </c>
      <c r="G385" t="b">
        <v>1</v>
      </c>
      <c r="H385">
        <v>1</v>
      </c>
      <c r="I385">
        <v>2</v>
      </c>
      <c r="J385">
        <v>0.16</v>
      </c>
    </row>
    <row r="386" spans="1:10" x14ac:dyDescent="0.3">
      <c r="A386">
        <v>385</v>
      </c>
      <c r="B386" s="1">
        <v>40560</v>
      </c>
      <c r="C386">
        <v>1</v>
      </c>
      <c r="D386">
        <v>0</v>
      </c>
      <c r="E386">
        <v>1</v>
      </c>
      <c r="F386">
        <v>12</v>
      </c>
      <c r="G386" t="b">
        <v>1</v>
      </c>
      <c r="H386">
        <v>1</v>
      </c>
      <c r="I386">
        <v>2</v>
      </c>
      <c r="J386">
        <v>0.18</v>
      </c>
    </row>
    <row r="387" spans="1:10" x14ac:dyDescent="0.3">
      <c r="A387">
        <v>386</v>
      </c>
      <c r="B387" s="1">
        <v>40560</v>
      </c>
      <c r="C387">
        <v>1</v>
      </c>
      <c r="D387">
        <v>0</v>
      </c>
      <c r="E387">
        <v>1</v>
      </c>
      <c r="F387">
        <v>13</v>
      </c>
      <c r="G387" t="b">
        <v>1</v>
      </c>
      <c r="H387">
        <v>1</v>
      </c>
      <c r="I387">
        <v>2</v>
      </c>
      <c r="J387">
        <v>0.18</v>
      </c>
    </row>
    <row r="388" spans="1:10" x14ac:dyDescent="0.3">
      <c r="A388">
        <v>387</v>
      </c>
      <c r="B388" s="1">
        <v>40560</v>
      </c>
      <c r="C388">
        <v>1</v>
      </c>
      <c r="D388">
        <v>0</v>
      </c>
      <c r="E388">
        <v>1</v>
      </c>
      <c r="F388">
        <v>14</v>
      </c>
      <c r="G388" t="b">
        <v>1</v>
      </c>
      <c r="H388">
        <v>1</v>
      </c>
      <c r="I388">
        <v>2</v>
      </c>
      <c r="J388">
        <v>0.18</v>
      </c>
    </row>
    <row r="389" spans="1:10" x14ac:dyDescent="0.3">
      <c r="A389">
        <v>388</v>
      </c>
      <c r="B389" s="1">
        <v>40560</v>
      </c>
      <c r="C389">
        <v>1</v>
      </c>
      <c r="D389">
        <v>0</v>
      </c>
      <c r="E389">
        <v>1</v>
      </c>
      <c r="F389">
        <v>15</v>
      </c>
      <c r="G389" t="b">
        <v>1</v>
      </c>
      <c r="H389">
        <v>1</v>
      </c>
      <c r="I389">
        <v>2</v>
      </c>
      <c r="J389">
        <v>0.2</v>
      </c>
    </row>
    <row r="390" spans="1:10" x14ac:dyDescent="0.3">
      <c r="A390">
        <v>389</v>
      </c>
      <c r="B390" s="1">
        <v>40560</v>
      </c>
      <c r="C390">
        <v>1</v>
      </c>
      <c r="D390">
        <v>0</v>
      </c>
      <c r="E390">
        <v>1</v>
      </c>
      <c r="F390">
        <v>16</v>
      </c>
      <c r="G390" t="b">
        <v>1</v>
      </c>
      <c r="H390">
        <v>1</v>
      </c>
      <c r="I390">
        <v>2</v>
      </c>
      <c r="J390">
        <v>0.2</v>
      </c>
    </row>
    <row r="391" spans="1:10" x14ac:dyDescent="0.3">
      <c r="A391">
        <v>390</v>
      </c>
      <c r="B391" s="1">
        <v>40560</v>
      </c>
      <c r="C391">
        <v>1</v>
      </c>
      <c r="D391">
        <v>0</v>
      </c>
      <c r="E391">
        <v>1</v>
      </c>
      <c r="F391">
        <v>17</v>
      </c>
      <c r="G391" t="b">
        <v>1</v>
      </c>
      <c r="H391">
        <v>1</v>
      </c>
      <c r="I391">
        <v>1</v>
      </c>
      <c r="J391">
        <v>0.2</v>
      </c>
    </row>
    <row r="392" spans="1:10" x14ac:dyDescent="0.3">
      <c r="A392">
        <v>391</v>
      </c>
      <c r="B392" s="1">
        <v>40560</v>
      </c>
      <c r="C392">
        <v>1</v>
      </c>
      <c r="D392">
        <v>0</v>
      </c>
      <c r="E392">
        <v>1</v>
      </c>
      <c r="F392">
        <v>18</v>
      </c>
      <c r="G392" t="b">
        <v>1</v>
      </c>
      <c r="H392">
        <v>1</v>
      </c>
      <c r="I392">
        <v>2</v>
      </c>
      <c r="J392">
        <v>0.18</v>
      </c>
    </row>
    <row r="393" spans="1:10" x14ac:dyDescent="0.3">
      <c r="A393">
        <v>392</v>
      </c>
      <c r="B393" s="1">
        <v>40560</v>
      </c>
      <c r="C393">
        <v>1</v>
      </c>
      <c r="D393">
        <v>0</v>
      </c>
      <c r="E393">
        <v>1</v>
      </c>
      <c r="F393">
        <v>19</v>
      </c>
      <c r="G393" t="b">
        <v>1</v>
      </c>
      <c r="H393">
        <v>1</v>
      </c>
      <c r="I393">
        <v>3</v>
      </c>
      <c r="J393">
        <v>0.18</v>
      </c>
    </row>
    <row r="394" spans="1:10" x14ac:dyDescent="0.3">
      <c r="A394">
        <v>393</v>
      </c>
      <c r="B394" s="1">
        <v>40560</v>
      </c>
      <c r="C394">
        <v>1</v>
      </c>
      <c r="D394">
        <v>0</v>
      </c>
      <c r="E394">
        <v>1</v>
      </c>
      <c r="F394">
        <v>20</v>
      </c>
      <c r="G394" t="b">
        <v>1</v>
      </c>
      <c r="H394">
        <v>1</v>
      </c>
      <c r="I394">
        <v>3</v>
      </c>
      <c r="J394">
        <v>0.16</v>
      </c>
    </row>
    <row r="395" spans="1:10" x14ac:dyDescent="0.3">
      <c r="A395">
        <v>394</v>
      </c>
      <c r="B395" s="1">
        <v>40560</v>
      </c>
      <c r="C395">
        <v>1</v>
      </c>
      <c r="D395">
        <v>0</v>
      </c>
      <c r="E395">
        <v>1</v>
      </c>
      <c r="F395">
        <v>21</v>
      </c>
      <c r="G395" t="b">
        <v>1</v>
      </c>
      <c r="H395">
        <v>1</v>
      </c>
      <c r="I395">
        <v>3</v>
      </c>
      <c r="J395">
        <v>0.16</v>
      </c>
    </row>
    <row r="396" spans="1:10" x14ac:dyDescent="0.3">
      <c r="A396">
        <v>395</v>
      </c>
      <c r="B396" s="1">
        <v>40560</v>
      </c>
      <c r="C396">
        <v>1</v>
      </c>
      <c r="D396">
        <v>0</v>
      </c>
      <c r="E396">
        <v>1</v>
      </c>
      <c r="F396">
        <v>22</v>
      </c>
      <c r="G396" t="b">
        <v>1</v>
      </c>
      <c r="H396">
        <v>1</v>
      </c>
      <c r="I396">
        <v>3</v>
      </c>
      <c r="J396">
        <v>0.14000000000000001</v>
      </c>
    </row>
    <row r="397" spans="1:10" x14ac:dyDescent="0.3">
      <c r="A397">
        <v>396</v>
      </c>
      <c r="B397" s="1">
        <v>40560</v>
      </c>
      <c r="C397">
        <v>1</v>
      </c>
      <c r="D397">
        <v>0</v>
      </c>
      <c r="E397">
        <v>1</v>
      </c>
      <c r="F397">
        <v>23</v>
      </c>
      <c r="G397" t="b">
        <v>1</v>
      </c>
      <c r="H397">
        <v>1</v>
      </c>
      <c r="I397">
        <v>3</v>
      </c>
      <c r="J397">
        <v>0.16</v>
      </c>
    </row>
    <row r="398" spans="1:10" x14ac:dyDescent="0.3">
      <c r="A398">
        <v>397</v>
      </c>
      <c r="B398" s="1">
        <v>40561</v>
      </c>
      <c r="C398">
        <v>1</v>
      </c>
      <c r="D398">
        <v>0</v>
      </c>
      <c r="E398">
        <v>1</v>
      </c>
      <c r="F398">
        <v>12</v>
      </c>
      <c r="G398" t="b">
        <v>0</v>
      </c>
      <c r="H398">
        <v>2</v>
      </c>
      <c r="I398">
        <v>2</v>
      </c>
      <c r="J398">
        <v>0.2</v>
      </c>
    </row>
    <row r="399" spans="1:10" x14ac:dyDescent="0.3">
      <c r="A399">
        <v>398</v>
      </c>
      <c r="B399" s="1">
        <v>40561</v>
      </c>
      <c r="C399">
        <v>1</v>
      </c>
      <c r="D399">
        <v>0</v>
      </c>
      <c r="E399">
        <v>1</v>
      </c>
      <c r="F399">
        <v>13</v>
      </c>
      <c r="G399" t="b">
        <v>0</v>
      </c>
      <c r="H399">
        <v>2</v>
      </c>
      <c r="I399">
        <v>2</v>
      </c>
      <c r="J399">
        <v>0.2</v>
      </c>
    </row>
    <row r="400" spans="1:10" x14ac:dyDescent="0.3">
      <c r="A400">
        <v>399</v>
      </c>
      <c r="B400" s="1">
        <v>40561</v>
      </c>
      <c r="C400">
        <v>1</v>
      </c>
      <c r="D400">
        <v>0</v>
      </c>
      <c r="E400">
        <v>1</v>
      </c>
      <c r="F400">
        <v>14</v>
      </c>
      <c r="G400" t="b">
        <v>0</v>
      </c>
      <c r="H400">
        <v>2</v>
      </c>
      <c r="I400">
        <v>2</v>
      </c>
      <c r="J400">
        <v>0.22</v>
      </c>
    </row>
    <row r="401" spans="1:10" x14ac:dyDescent="0.3">
      <c r="A401">
        <v>400</v>
      </c>
      <c r="B401" s="1">
        <v>40561</v>
      </c>
      <c r="C401">
        <v>1</v>
      </c>
      <c r="D401">
        <v>0</v>
      </c>
      <c r="E401">
        <v>1</v>
      </c>
      <c r="F401">
        <v>15</v>
      </c>
      <c r="G401" t="b">
        <v>0</v>
      </c>
      <c r="H401">
        <v>2</v>
      </c>
      <c r="I401">
        <v>2</v>
      </c>
      <c r="J401">
        <v>0.22</v>
      </c>
    </row>
    <row r="402" spans="1:10" x14ac:dyDescent="0.3">
      <c r="A402">
        <v>401</v>
      </c>
      <c r="B402" s="1">
        <v>40561</v>
      </c>
      <c r="C402">
        <v>1</v>
      </c>
      <c r="D402">
        <v>0</v>
      </c>
      <c r="E402">
        <v>1</v>
      </c>
      <c r="F402">
        <v>16</v>
      </c>
      <c r="G402" t="b">
        <v>0</v>
      </c>
      <c r="H402">
        <v>2</v>
      </c>
      <c r="I402">
        <v>2</v>
      </c>
      <c r="J402">
        <v>0.22</v>
      </c>
    </row>
    <row r="403" spans="1:10" x14ac:dyDescent="0.3">
      <c r="A403">
        <v>402</v>
      </c>
      <c r="B403" s="1">
        <v>40561</v>
      </c>
      <c r="C403">
        <v>1</v>
      </c>
      <c r="D403">
        <v>0</v>
      </c>
      <c r="E403">
        <v>1</v>
      </c>
      <c r="F403">
        <v>17</v>
      </c>
      <c r="G403" t="b">
        <v>0</v>
      </c>
      <c r="H403">
        <v>2</v>
      </c>
      <c r="I403">
        <v>2</v>
      </c>
      <c r="J403">
        <v>0.22</v>
      </c>
    </row>
    <row r="404" spans="1:10" x14ac:dyDescent="0.3">
      <c r="A404">
        <v>403</v>
      </c>
      <c r="B404" s="1">
        <v>40561</v>
      </c>
      <c r="C404">
        <v>1</v>
      </c>
      <c r="D404">
        <v>0</v>
      </c>
      <c r="E404">
        <v>1</v>
      </c>
      <c r="F404">
        <v>18</v>
      </c>
      <c r="G404" t="b">
        <v>0</v>
      </c>
      <c r="H404">
        <v>2</v>
      </c>
      <c r="I404">
        <v>2</v>
      </c>
      <c r="J404">
        <v>0.22</v>
      </c>
    </row>
    <row r="405" spans="1:10" x14ac:dyDescent="0.3">
      <c r="A405">
        <v>404</v>
      </c>
      <c r="B405" s="1">
        <v>40561</v>
      </c>
      <c r="C405">
        <v>1</v>
      </c>
      <c r="D405">
        <v>0</v>
      </c>
      <c r="E405">
        <v>1</v>
      </c>
      <c r="F405">
        <v>19</v>
      </c>
      <c r="G405" t="b">
        <v>0</v>
      </c>
      <c r="H405">
        <v>2</v>
      </c>
      <c r="I405">
        <v>2</v>
      </c>
      <c r="J405">
        <v>0.22</v>
      </c>
    </row>
    <row r="406" spans="1:10" x14ac:dyDescent="0.3">
      <c r="A406">
        <v>405</v>
      </c>
      <c r="B406" s="1">
        <v>40561</v>
      </c>
      <c r="C406">
        <v>1</v>
      </c>
      <c r="D406">
        <v>0</v>
      </c>
      <c r="E406">
        <v>1</v>
      </c>
      <c r="F406">
        <v>20</v>
      </c>
      <c r="G406" t="b">
        <v>0</v>
      </c>
      <c r="H406">
        <v>2</v>
      </c>
      <c r="I406">
        <v>2</v>
      </c>
      <c r="J406">
        <v>0.22</v>
      </c>
    </row>
    <row r="407" spans="1:10" x14ac:dyDescent="0.3">
      <c r="A407">
        <v>406</v>
      </c>
      <c r="B407" s="1">
        <v>40561</v>
      </c>
      <c r="C407">
        <v>1</v>
      </c>
      <c r="D407">
        <v>0</v>
      </c>
      <c r="E407">
        <v>1</v>
      </c>
      <c r="F407">
        <v>21</v>
      </c>
      <c r="G407" t="b">
        <v>0</v>
      </c>
      <c r="H407">
        <v>2</v>
      </c>
      <c r="I407">
        <v>2</v>
      </c>
      <c r="J407">
        <v>0.22</v>
      </c>
    </row>
    <row r="408" spans="1:10" x14ac:dyDescent="0.3">
      <c r="A408">
        <v>407</v>
      </c>
      <c r="B408" s="1">
        <v>40561</v>
      </c>
      <c r="C408">
        <v>1</v>
      </c>
      <c r="D408">
        <v>0</v>
      </c>
      <c r="E408">
        <v>1</v>
      </c>
      <c r="F408">
        <v>22</v>
      </c>
      <c r="G408" t="b">
        <v>0</v>
      </c>
      <c r="H408">
        <v>2</v>
      </c>
      <c r="I408">
        <v>2</v>
      </c>
      <c r="J408">
        <v>0.22</v>
      </c>
    </row>
    <row r="409" spans="1:10" x14ac:dyDescent="0.3">
      <c r="A409">
        <v>408</v>
      </c>
      <c r="B409" s="1">
        <v>40561</v>
      </c>
      <c r="C409">
        <v>1</v>
      </c>
      <c r="D409">
        <v>0</v>
      </c>
      <c r="E409">
        <v>1</v>
      </c>
      <c r="F409">
        <v>23</v>
      </c>
      <c r="G409" t="b">
        <v>0</v>
      </c>
      <c r="H409">
        <v>2</v>
      </c>
      <c r="I409">
        <v>2</v>
      </c>
      <c r="J409">
        <v>0.22</v>
      </c>
    </row>
    <row r="410" spans="1:10" x14ac:dyDescent="0.3">
      <c r="A410">
        <v>409</v>
      </c>
      <c r="B410" s="1">
        <v>40562</v>
      </c>
      <c r="C410">
        <v>1</v>
      </c>
      <c r="D410">
        <v>0</v>
      </c>
      <c r="E410">
        <v>1</v>
      </c>
      <c r="F410">
        <v>0</v>
      </c>
      <c r="G410" t="b">
        <v>0</v>
      </c>
      <c r="H410">
        <v>3</v>
      </c>
      <c r="I410">
        <v>2</v>
      </c>
      <c r="J410">
        <v>0.22</v>
      </c>
    </row>
    <row r="411" spans="1:10" x14ac:dyDescent="0.3">
      <c r="A411">
        <v>410</v>
      </c>
      <c r="B411" s="1">
        <v>40562</v>
      </c>
      <c r="C411">
        <v>1</v>
      </c>
      <c r="D411">
        <v>0</v>
      </c>
      <c r="E411">
        <v>1</v>
      </c>
      <c r="F411">
        <v>1</v>
      </c>
      <c r="G411" t="b">
        <v>0</v>
      </c>
      <c r="H411">
        <v>3</v>
      </c>
      <c r="I411">
        <v>3</v>
      </c>
      <c r="J411">
        <v>0.22</v>
      </c>
    </row>
    <row r="412" spans="1:10" x14ac:dyDescent="0.3">
      <c r="A412">
        <v>411</v>
      </c>
      <c r="B412" s="1">
        <v>40562</v>
      </c>
      <c r="C412">
        <v>1</v>
      </c>
      <c r="D412">
        <v>0</v>
      </c>
      <c r="E412">
        <v>1</v>
      </c>
      <c r="F412">
        <v>2</v>
      </c>
      <c r="G412" t="b">
        <v>0</v>
      </c>
      <c r="H412">
        <v>3</v>
      </c>
      <c r="I412">
        <v>3</v>
      </c>
      <c r="J412">
        <v>0.22</v>
      </c>
    </row>
    <row r="413" spans="1:10" x14ac:dyDescent="0.3">
      <c r="A413">
        <v>412</v>
      </c>
      <c r="B413" s="1">
        <v>40562</v>
      </c>
      <c r="C413">
        <v>1</v>
      </c>
      <c r="D413">
        <v>0</v>
      </c>
      <c r="E413">
        <v>1</v>
      </c>
      <c r="F413">
        <v>4</v>
      </c>
      <c r="G413" t="b">
        <v>0</v>
      </c>
      <c r="H413">
        <v>3</v>
      </c>
      <c r="I413">
        <v>3</v>
      </c>
      <c r="J413">
        <v>0.22</v>
      </c>
    </row>
    <row r="414" spans="1:10" x14ac:dyDescent="0.3">
      <c r="A414">
        <v>413</v>
      </c>
      <c r="B414" s="1">
        <v>40562</v>
      </c>
      <c r="C414">
        <v>1</v>
      </c>
      <c r="D414">
        <v>0</v>
      </c>
      <c r="E414">
        <v>1</v>
      </c>
      <c r="F414">
        <v>5</v>
      </c>
      <c r="G414" t="b">
        <v>0</v>
      </c>
      <c r="H414">
        <v>3</v>
      </c>
      <c r="I414">
        <v>2</v>
      </c>
      <c r="J414">
        <v>0.22</v>
      </c>
    </row>
    <row r="415" spans="1:10" x14ac:dyDescent="0.3">
      <c r="A415">
        <v>414</v>
      </c>
      <c r="B415" s="1">
        <v>40562</v>
      </c>
      <c r="C415">
        <v>1</v>
      </c>
      <c r="D415">
        <v>0</v>
      </c>
      <c r="E415">
        <v>1</v>
      </c>
      <c r="F415">
        <v>6</v>
      </c>
      <c r="G415" t="b">
        <v>0</v>
      </c>
      <c r="H415">
        <v>3</v>
      </c>
      <c r="I415">
        <v>2</v>
      </c>
      <c r="J415">
        <v>0.22</v>
      </c>
    </row>
    <row r="416" spans="1:10" x14ac:dyDescent="0.3">
      <c r="A416">
        <v>415</v>
      </c>
      <c r="B416" s="1">
        <v>40562</v>
      </c>
      <c r="C416">
        <v>1</v>
      </c>
      <c r="D416">
        <v>0</v>
      </c>
      <c r="E416">
        <v>1</v>
      </c>
      <c r="F416">
        <v>7</v>
      </c>
      <c r="G416" t="b">
        <v>0</v>
      </c>
      <c r="H416">
        <v>3</v>
      </c>
      <c r="I416">
        <v>2</v>
      </c>
      <c r="J416">
        <v>0.24</v>
      </c>
    </row>
    <row r="417" spans="1:10" x14ac:dyDescent="0.3">
      <c r="A417">
        <v>416</v>
      </c>
      <c r="B417" s="1">
        <v>40562</v>
      </c>
      <c r="C417">
        <v>1</v>
      </c>
      <c r="D417">
        <v>0</v>
      </c>
      <c r="E417">
        <v>1</v>
      </c>
      <c r="F417">
        <v>8</v>
      </c>
      <c r="G417" t="b">
        <v>0</v>
      </c>
      <c r="H417">
        <v>3</v>
      </c>
      <c r="I417">
        <v>2</v>
      </c>
      <c r="J417">
        <v>0.24</v>
      </c>
    </row>
    <row r="418" spans="1:10" x14ac:dyDescent="0.3">
      <c r="A418">
        <v>417</v>
      </c>
      <c r="B418" s="1">
        <v>40562</v>
      </c>
      <c r="C418">
        <v>1</v>
      </c>
      <c r="D418">
        <v>0</v>
      </c>
      <c r="E418">
        <v>1</v>
      </c>
      <c r="F418">
        <v>9</v>
      </c>
      <c r="G418" t="b">
        <v>0</v>
      </c>
      <c r="H418">
        <v>3</v>
      </c>
      <c r="I418">
        <v>2</v>
      </c>
      <c r="J418">
        <v>0.24</v>
      </c>
    </row>
    <row r="419" spans="1:10" x14ac:dyDescent="0.3">
      <c r="A419">
        <v>418</v>
      </c>
      <c r="B419" s="1">
        <v>40562</v>
      </c>
      <c r="C419">
        <v>1</v>
      </c>
      <c r="D419">
        <v>0</v>
      </c>
      <c r="E419">
        <v>1</v>
      </c>
      <c r="F419">
        <v>10</v>
      </c>
      <c r="G419" t="b">
        <v>0</v>
      </c>
      <c r="H419">
        <v>3</v>
      </c>
      <c r="I419">
        <v>2</v>
      </c>
      <c r="J419">
        <v>0.26</v>
      </c>
    </row>
    <row r="420" spans="1:10" x14ac:dyDescent="0.3">
      <c r="A420">
        <v>419</v>
      </c>
      <c r="B420" s="1">
        <v>40562</v>
      </c>
      <c r="C420">
        <v>1</v>
      </c>
      <c r="D420">
        <v>0</v>
      </c>
      <c r="E420">
        <v>1</v>
      </c>
      <c r="F420">
        <v>11</v>
      </c>
      <c r="G420" t="b">
        <v>0</v>
      </c>
      <c r="H420">
        <v>3</v>
      </c>
      <c r="I420">
        <v>2</v>
      </c>
      <c r="J420">
        <v>0.28000000000000003</v>
      </c>
    </row>
    <row r="421" spans="1:10" x14ac:dyDescent="0.3">
      <c r="A421">
        <v>420</v>
      </c>
      <c r="B421" s="1">
        <v>40562</v>
      </c>
      <c r="C421">
        <v>1</v>
      </c>
      <c r="D421">
        <v>0</v>
      </c>
      <c r="E421">
        <v>1</v>
      </c>
      <c r="F421">
        <v>12</v>
      </c>
      <c r="G421" t="b">
        <v>0</v>
      </c>
      <c r="H421">
        <v>3</v>
      </c>
      <c r="I421">
        <v>2</v>
      </c>
      <c r="J421">
        <v>0.3</v>
      </c>
    </row>
    <row r="422" spans="1:10" x14ac:dyDescent="0.3">
      <c r="A422">
        <v>421</v>
      </c>
      <c r="B422" s="1">
        <v>40562</v>
      </c>
      <c r="C422">
        <v>1</v>
      </c>
      <c r="D422">
        <v>0</v>
      </c>
      <c r="E422">
        <v>1</v>
      </c>
      <c r="F422">
        <v>13</v>
      </c>
      <c r="G422" t="b">
        <v>0</v>
      </c>
      <c r="H422">
        <v>3</v>
      </c>
      <c r="I422">
        <v>1</v>
      </c>
      <c r="J422">
        <v>0.4</v>
      </c>
    </row>
    <row r="423" spans="1:10" x14ac:dyDescent="0.3">
      <c r="A423">
        <v>422</v>
      </c>
      <c r="B423" s="1">
        <v>40562</v>
      </c>
      <c r="C423">
        <v>1</v>
      </c>
      <c r="D423">
        <v>0</v>
      </c>
      <c r="E423">
        <v>1</v>
      </c>
      <c r="F423">
        <v>14</v>
      </c>
      <c r="G423" t="b">
        <v>0</v>
      </c>
      <c r="H423">
        <v>3</v>
      </c>
      <c r="I423">
        <v>1</v>
      </c>
      <c r="J423">
        <v>0.4</v>
      </c>
    </row>
    <row r="424" spans="1:10" x14ac:dyDescent="0.3">
      <c r="A424">
        <v>423</v>
      </c>
      <c r="B424" s="1">
        <v>40562</v>
      </c>
      <c r="C424">
        <v>1</v>
      </c>
      <c r="D424">
        <v>0</v>
      </c>
      <c r="E424">
        <v>1</v>
      </c>
      <c r="F424">
        <v>15</v>
      </c>
      <c r="G424" t="b">
        <v>0</v>
      </c>
      <c r="H424">
        <v>3</v>
      </c>
      <c r="I424">
        <v>1</v>
      </c>
      <c r="J424">
        <v>0.4</v>
      </c>
    </row>
    <row r="425" spans="1:10" x14ac:dyDescent="0.3">
      <c r="A425">
        <v>424</v>
      </c>
      <c r="B425" s="1">
        <v>40562</v>
      </c>
      <c r="C425">
        <v>1</v>
      </c>
      <c r="D425">
        <v>0</v>
      </c>
      <c r="E425">
        <v>1</v>
      </c>
      <c r="F425">
        <v>16</v>
      </c>
      <c r="G425" t="b">
        <v>0</v>
      </c>
      <c r="H425">
        <v>3</v>
      </c>
      <c r="I425">
        <v>1</v>
      </c>
      <c r="J425">
        <v>0.38</v>
      </c>
    </row>
    <row r="426" spans="1:10" x14ac:dyDescent="0.3">
      <c r="A426">
        <v>425</v>
      </c>
      <c r="B426" s="1">
        <v>40562</v>
      </c>
      <c r="C426">
        <v>1</v>
      </c>
      <c r="D426">
        <v>0</v>
      </c>
      <c r="E426">
        <v>1</v>
      </c>
      <c r="F426">
        <v>17</v>
      </c>
      <c r="G426" t="b">
        <v>0</v>
      </c>
      <c r="H426">
        <v>3</v>
      </c>
      <c r="I426">
        <v>1</v>
      </c>
      <c r="J426">
        <v>0.36</v>
      </c>
    </row>
    <row r="427" spans="1:10" x14ac:dyDescent="0.3">
      <c r="A427">
        <v>426</v>
      </c>
      <c r="B427" s="1">
        <v>40562</v>
      </c>
      <c r="C427">
        <v>1</v>
      </c>
      <c r="D427">
        <v>0</v>
      </c>
      <c r="E427">
        <v>1</v>
      </c>
      <c r="F427">
        <v>18</v>
      </c>
      <c r="G427" t="b">
        <v>0</v>
      </c>
      <c r="H427">
        <v>3</v>
      </c>
      <c r="I427">
        <v>1</v>
      </c>
      <c r="J427">
        <v>0.34</v>
      </c>
    </row>
    <row r="428" spans="1:10" x14ac:dyDescent="0.3">
      <c r="A428">
        <v>427</v>
      </c>
      <c r="B428" s="1">
        <v>40562</v>
      </c>
      <c r="C428">
        <v>1</v>
      </c>
      <c r="D428">
        <v>0</v>
      </c>
      <c r="E428">
        <v>1</v>
      </c>
      <c r="F428">
        <v>19</v>
      </c>
      <c r="G428" t="b">
        <v>0</v>
      </c>
      <c r="H428">
        <v>3</v>
      </c>
      <c r="I428">
        <v>1</v>
      </c>
      <c r="J428">
        <v>0.32</v>
      </c>
    </row>
    <row r="429" spans="1:10" x14ac:dyDescent="0.3">
      <c r="A429">
        <v>428</v>
      </c>
      <c r="B429" s="1">
        <v>40562</v>
      </c>
      <c r="C429">
        <v>1</v>
      </c>
      <c r="D429">
        <v>0</v>
      </c>
      <c r="E429">
        <v>1</v>
      </c>
      <c r="F429">
        <v>20</v>
      </c>
      <c r="G429" t="b">
        <v>0</v>
      </c>
      <c r="H429">
        <v>3</v>
      </c>
      <c r="I429">
        <v>1</v>
      </c>
      <c r="J429">
        <v>0.32</v>
      </c>
    </row>
    <row r="430" spans="1:10" x14ac:dyDescent="0.3">
      <c r="A430">
        <v>429</v>
      </c>
      <c r="B430" s="1">
        <v>40562</v>
      </c>
      <c r="C430">
        <v>1</v>
      </c>
      <c r="D430">
        <v>0</v>
      </c>
      <c r="E430">
        <v>1</v>
      </c>
      <c r="F430">
        <v>21</v>
      </c>
      <c r="G430" t="b">
        <v>0</v>
      </c>
      <c r="H430">
        <v>3</v>
      </c>
      <c r="I430">
        <v>1</v>
      </c>
      <c r="J430">
        <v>0.32</v>
      </c>
    </row>
    <row r="431" spans="1:10" x14ac:dyDescent="0.3">
      <c r="A431">
        <v>430</v>
      </c>
      <c r="B431" s="1">
        <v>40562</v>
      </c>
      <c r="C431">
        <v>1</v>
      </c>
      <c r="D431">
        <v>0</v>
      </c>
      <c r="E431">
        <v>1</v>
      </c>
      <c r="F431">
        <v>22</v>
      </c>
      <c r="G431" t="b">
        <v>0</v>
      </c>
      <c r="H431">
        <v>3</v>
      </c>
      <c r="I431">
        <v>1</v>
      </c>
      <c r="J431">
        <v>0.3</v>
      </c>
    </row>
    <row r="432" spans="1:10" x14ac:dyDescent="0.3">
      <c r="A432">
        <v>431</v>
      </c>
      <c r="B432" s="1">
        <v>40562</v>
      </c>
      <c r="C432">
        <v>1</v>
      </c>
      <c r="D432">
        <v>0</v>
      </c>
      <c r="E432">
        <v>1</v>
      </c>
      <c r="F432">
        <v>23</v>
      </c>
      <c r="G432" t="b">
        <v>0</v>
      </c>
      <c r="H432">
        <v>3</v>
      </c>
      <c r="I432">
        <v>1</v>
      </c>
      <c r="J432">
        <v>0.3</v>
      </c>
    </row>
    <row r="433" spans="1:10" x14ac:dyDescent="0.3">
      <c r="A433">
        <v>432</v>
      </c>
      <c r="B433" s="1">
        <v>40563</v>
      </c>
      <c r="C433">
        <v>1</v>
      </c>
      <c r="D433">
        <v>0</v>
      </c>
      <c r="E433">
        <v>1</v>
      </c>
      <c r="F433">
        <v>0</v>
      </c>
      <c r="G433" t="b">
        <v>0</v>
      </c>
      <c r="H433">
        <v>4</v>
      </c>
      <c r="I433">
        <v>1</v>
      </c>
      <c r="J433">
        <v>0.26</v>
      </c>
    </row>
    <row r="434" spans="1:10" x14ac:dyDescent="0.3">
      <c r="A434">
        <v>433</v>
      </c>
      <c r="B434" s="1">
        <v>40563</v>
      </c>
      <c r="C434">
        <v>1</v>
      </c>
      <c r="D434">
        <v>0</v>
      </c>
      <c r="E434">
        <v>1</v>
      </c>
      <c r="F434">
        <v>1</v>
      </c>
      <c r="G434" t="b">
        <v>0</v>
      </c>
      <c r="H434">
        <v>4</v>
      </c>
      <c r="I434">
        <v>1</v>
      </c>
      <c r="J434">
        <v>0.26</v>
      </c>
    </row>
    <row r="435" spans="1:10" x14ac:dyDescent="0.3">
      <c r="A435">
        <v>434</v>
      </c>
      <c r="B435" s="1">
        <v>40563</v>
      </c>
      <c r="C435">
        <v>1</v>
      </c>
      <c r="D435">
        <v>0</v>
      </c>
      <c r="E435">
        <v>1</v>
      </c>
      <c r="F435">
        <v>2</v>
      </c>
      <c r="G435" t="b">
        <v>0</v>
      </c>
      <c r="H435">
        <v>4</v>
      </c>
      <c r="I435">
        <v>1</v>
      </c>
      <c r="J435">
        <v>0.26</v>
      </c>
    </row>
    <row r="436" spans="1:10" x14ac:dyDescent="0.3">
      <c r="A436">
        <v>435</v>
      </c>
      <c r="B436" s="1">
        <v>40563</v>
      </c>
      <c r="C436">
        <v>1</v>
      </c>
      <c r="D436">
        <v>0</v>
      </c>
      <c r="E436">
        <v>1</v>
      </c>
      <c r="F436">
        <v>3</v>
      </c>
      <c r="G436" t="b">
        <v>0</v>
      </c>
      <c r="H436">
        <v>4</v>
      </c>
      <c r="I436">
        <v>1</v>
      </c>
      <c r="J436">
        <v>0.26</v>
      </c>
    </row>
    <row r="437" spans="1:10" x14ac:dyDescent="0.3">
      <c r="A437">
        <v>436</v>
      </c>
      <c r="B437" s="1">
        <v>40563</v>
      </c>
      <c r="C437">
        <v>1</v>
      </c>
      <c r="D437">
        <v>0</v>
      </c>
      <c r="E437">
        <v>1</v>
      </c>
      <c r="F437">
        <v>4</v>
      </c>
      <c r="G437" t="b">
        <v>0</v>
      </c>
      <c r="H437">
        <v>4</v>
      </c>
      <c r="I437">
        <v>1</v>
      </c>
      <c r="J437">
        <v>0.26</v>
      </c>
    </row>
    <row r="438" spans="1:10" x14ac:dyDescent="0.3">
      <c r="A438">
        <v>437</v>
      </c>
      <c r="B438" s="1">
        <v>40563</v>
      </c>
      <c r="C438">
        <v>1</v>
      </c>
      <c r="D438">
        <v>0</v>
      </c>
      <c r="E438">
        <v>1</v>
      </c>
      <c r="F438">
        <v>5</v>
      </c>
      <c r="G438" t="b">
        <v>0</v>
      </c>
      <c r="H438">
        <v>4</v>
      </c>
      <c r="I438">
        <v>1</v>
      </c>
      <c r="J438">
        <v>0.24</v>
      </c>
    </row>
    <row r="439" spans="1:10" x14ac:dyDescent="0.3">
      <c r="A439">
        <v>438</v>
      </c>
      <c r="B439" s="1">
        <v>40563</v>
      </c>
      <c r="C439">
        <v>1</v>
      </c>
      <c r="D439">
        <v>0</v>
      </c>
      <c r="E439">
        <v>1</v>
      </c>
      <c r="F439">
        <v>6</v>
      </c>
      <c r="G439" t="b">
        <v>0</v>
      </c>
      <c r="H439">
        <v>4</v>
      </c>
      <c r="I439">
        <v>1</v>
      </c>
      <c r="J439">
        <v>0.22</v>
      </c>
    </row>
    <row r="440" spans="1:10" x14ac:dyDescent="0.3">
      <c r="A440">
        <v>439</v>
      </c>
      <c r="B440" s="1">
        <v>40563</v>
      </c>
      <c r="C440">
        <v>1</v>
      </c>
      <c r="D440">
        <v>0</v>
      </c>
      <c r="E440">
        <v>1</v>
      </c>
      <c r="F440">
        <v>7</v>
      </c>
      <c r="G440" t="b">
        <v>0</v>
      </c>
      <c r="H440">
        <v>4</v>
      </c>
      <c r="I440">
        <v>1</v>
      </c>
      <c r="J440">
        <v>0.22</v>
      </c>
    </row>
    <row r="441" spans="1:10" x14ac:dyDescent="0.3">
      <c r="A441">
        <v>440</v>
      </c>
      <c r="B441" s="1">
        <v>40563</v>
      </c>
      <c r="C441">
        <v>1</v>
      </c>
      <c r="D441">
        <v>0</v>
      </c>
      <c r="E441">
        <v>1</v>
      </c>
      <c r="F441">
        <v>8</v>
      </c>
      <c r="G441" t="b">
        <v>0</v>
      </c>
      <c r="H441">
        <v>4</v>
      </c>
      <c r="I441">
        <v>1</v>
      </c>
      <c r="J441">
        <v>0.22</v>
      </c>
    </row>
    <row r="442" spans="1:10" x14ac:dyDescent="0.3">
      <c r="A442">
        <v>441</v>
      </c>
      <c r="B442" s="1">
        <v>40563</v>
      </c>
      <c r="C442">
        <v>1</v>
      </c>
      <c r="D442">
        <v>0</v>
      </c>
      <c r="E442">
        <v>1</v>
      </c>
      <c r="F442">
        <v>9</v>
      </c>
      <c r="G442" t="b">
        <v>0</v>
      </c>
      <c r="H442">
        <v>4</v>
      </c>
      <c r="I442">
        <v>2</v>
      </c>
      <c r="J442">
        <v>0.24</v>
      </c>
    </row>
    <row r="443" spans="1:10" x14ac:dyDescent="0.3">
      <c r="A443">
        <v>442</v>
      </c>
      <c r="B443" s="1">
        <v>40563</v>
      </c>
      <c r="C443">
        <v>1</v>
      </c>
      <c r="D443">
        <v>0</v>
      </c>
      <c r="E443">
        <v>1</v>
      </c>
      <c r="F443">
        <v>10</v>
      </c>
      <c r="G443" t="b">
        <v>0</v>
      </c>
      <c r="H443">
        <v>4</v>
      </c>
      <c r="I443">
        <v>1</v>
      </c>
      <c r="J443">
        <v>0.26</v>
      </c>
    </row>
    <row r="444" spans="1:10" x14ac:dyDescent="0.3">
      <c r="A444">
        <v>443</v>
      </c>
      <c r="B444" s="1">
        <v>40563</v>
      </c>
      <c r="C444">
        <v>1</v>
      </c>
      <c r="D444">
        <v>0</v>
      </c>
      <c r="E444">
        <v>1</v>
      </c>
      <c r="F444">
        <v>11</v>
      </c>
      <c r="G444" t="b">
        <v>0</v>
      </c>
      <c r="H444">
        <v>4</v>
      </c>
      <c r="I444">
        <v>2</v>
      </c>
      <c r="J444">
        <v>0.28000000000000003</v>
      </c>
    </row>
    <row r="445" spans="1:10" x14ac:dyDescent="0.3">
      <c r="A445">
        <v>444</v>
      </c>
      <c r="B445" s="1">
        <v>40563</v>
      </c>
      <c r="C445">
        <v>1</v>
      </c>
      <c r="D445">
        <v>0</v>
      </c>
      <c r="E445">
        <v>1</v>
      </c>
      <c r="F445">
        <v>12</v>
      </c>
      <c r="G445" t="b">
        <v>0</v>
      </c>
      <c r="H445">
        <v>4</v>
      </c>
      <c r="I445">
        <v>2</v>
      </c>
      <c r="J445">
        <v>0.3</v>
      </c>
    </row>
    <row r="446" spans="1:10" x14ac:dyDescent="0.3">
      <c r="A446">
        <v>445</v>
      </c>
      <c r="B446" s="1">
        <v>40563</v>
      </c>
      <c r="C446">
        <v>1</v>
      </c>
      <c r="D446">
        <v>0</v>
      </c>
      <c r="E446">
        <v>1</v>
      </c>
      <c r="F446">
        <v>13</v>
      </c>
      <c r="G446" t="b">
        <v>0</v>
      </c>
      <c r="H446">
        <v>4</v>
      </c>
      <c r="I446">
        <v>2</v>
      </c>
      <c r="J446">
        <v>0.28000000000000003</v>
      </c>
    </row>
    <row r="447" spans="1:10" x14ac:dyDescent="0.3">
      <c r="A447">
        <v>446</v>
      </c>
      <c r="B447" s="1">
        <v>40563</v>
      </c>
      <c r="C447">
        <v>1</v>
      </c>
      <c r="D447">
        <v>0</v>
      </c>
      <c r="E447">
        <v>1</v>
      </c>
      <c r="F447">
        <v>14</v>
      </c>
      <c r="G447" t="b">
        <v>0</v>
      </c>
      <c r="H447">
        <v>4</v>
      </c>
      <c r="I447">
        <v>2</v>
      </c>
      <c r="J447">
        <v>0.3</v>
      </c>
    </row>
    <row r="448" spans="1:10" x14ac:dyDescent="0.3">
      <c r="A448">
        <v>447</v>
      </c>
      <c r="B448" s="1">
        <v>40563</v>
      </c>
      <c r="C448">
        <v>1</v>
      </c>
      <c r="D448">
        <v>0</v>
      </c>
      <c r="E448">
        <v>1</v>
      </c>
      <c r="F448">
        <v>15</v>
      </c>
      <c r="G448" t="b">
        <v>0</v>
      </c>
      <c r="H448">
        <v>4</v>
      </c>
      <c r="I448">
        <v>2</v>
      </c>
      <c r="J448">
        <v>0.32</v>
      </c>
    </row>
    <row r="449" spans="1:10" x14ac:dyDescent="0.3">
      <c r="A449">
        <v>448</v>
      </c>
      <c r="B449" s="1">
        <v>40563</v>
      </c>
      <c r="C449">
        <v>1</v>
      </c>
      <c r="D449">
        <v>0</v>
      </c>
      <c r="E449">
        <v>1</v>
      </c>
      <c r="F449">
        <v>16</v>
      </c>
      <c r="G449" t="b">
        <v>0</v>
      </c>
      <c r="H449">
        <v>4</v>
      </c>
      <c r="I449">
        <v>2</v>
      </c>
      <c r="J449">
        <v>0.3</v>
      </c>
    </row>
    <row r="450" spans="1:10" x14ac:dyDescent="0.3">
      <c r="A450">
        <v>449</v>
      </c>
      <c r="B450" s="1">
        <v>40563</v>
      </c>
      <c r="C450">
        <v>1</v>
      </c>
      <c r="D450">
        <v>0</v>
      </c>
      <c r="E450">
        <v>1</v>
      </c>
      <c r="F450">
        <v>17</v>
      </c>
      <c r="G450" t="b">
        <v>0</v>
      </c>
      <c r="H450">
        <v>4</v>
      </c>
      <c r="I450">
        <v>2</v>
      </c>
      <c r="J450">
        <v>0.3</v>
      </c>
    </row>
    <row r="451" spans="1:10" x14ac:dyDescent="0.3">
      <c r="A451">
        <v>450</v>
      </c>
      <c r="B451" s="1">
        <v>40563</v>
      </c>
      <c r="C451">
        <v>1</v>
      </c>
      <c r="D451">
        <v>0</v>
      </c>
      <c r="E451">
        <v>1</v>
      </c>
      <c r="F451">
        <v>18</v>
      </c>
      <c r="G451" t="b">
        <v>0</v>
      </c>
      <c r="H451">
        <v>4</v>
      </c>
      <c r="I451">
        <v>2</v>
      </c>
      <c r="J451">
        <v>0.26</v>
      </c>
    </row>
    <row r="452" spans="1:10" x14ac:dyDescent="0.3">
      <c r="A452">
        <v>451</v>
      </c>
      <c r="B452" s="1">
        <v>40563</v>
      </c>
      <c r="C452">
        <v>1</v>
      </c>
      <c r="D452">
        <v>0</v>
      </c>
      <c r="E452">
        <v>1</v>
      </c>
      <c r="F452">
        <v>19</v>
      </c>
      <c r="G452" t="b">
        <v>0</v>
      </c>
      <c r="H452">
        <v>4</v>
      </c>
      <c r="I452">
        <v>1</v>
      </c>
      <c r="J452">
        <v>0.26</v>
      </c>
    </row>
    <row r="453" spans="1:10" x14ac:dyDescent="0.3">
      <c r="A453">
        <v>452</v>
      </c>
      <c r="B453" s="1">
        <v>40563</v>
      </c>
      <c r="C453">
        <v>1</v>
      </c>
      <c r="D453">
        <v>0</v>
      </c>
      <c r="E453">
        <v>1</v>
      </c>
      <c r="F453">
        <v>20</v>
      </c>
      <c r="G453" t="b">
        <v>0</v>
      </c>
      <c r="H453">
        <v>4</v>
      </c>
      <c r="I453">
        <v>2</v>
      </c>
      <c r="J453">
        <v>0.26</v>
      </c>
    </row>
    <row r="454" spans="1:10" x14ac:dyDescent="0.3">
      <c r="A454">
        <v>453</v>
      </c>
      <c r="B454" s="1">
        <v>40563</v>
      </c>
      <c r="C454">
        <v>1</v>
      </c>
      <c r="D454">
        <v>0</v>
      </c>
      <c r="E454">
        <v>1</v>
      </c>
      <c r="F454">
        <v>21</v>
      </c>
      <c r="G454" t="b">
        <v>0</v>
      </c>
      <c r="H454">
        <v>4</v>
      </c>
      <c r="I454">
        <v>2</v>
      </c>
      <c r="J454">
        <v>0.24</v>
      </c>
    </row>
    <row r="455" spans="1:10" x14ac:dyDescent="0.3">
      <c r="A455">
        <v>454</v>
      </c>
      <c r="B455" s="1">
        <v>40563</v>
      </c>
      <c r="C455">
        <v>1</v>
      </c>
      <c r="D455">
        <v>0</v>
      </c>
      <c r="E455">
        <v>1</v>
      </c>
      <c r="F455">
        <v>22</v>
      </c>
      <c r="G455" t="b">
        <v>0</v>
      </c>
      <c r="H455">
        <v>4</v>
      </c>
      <c r="I455">
        <v>2</v>
      </c>
      <c r="J455">
        <v>0.24</v>
      </c>
    </row>
    <row r="456" spans="1:10" x14ac:dyDescent="0.3">
      <c r="A456">
        <v>455</v>
      </c>
      <c r="B456" s="1">
        <v>40563</v>
      </c>
      <c r="C456">
        <v>1</v>
      </c>
      <c r="D456">
        <v>0</v>
      </c>
      <c r="E456">
        <v>1</v>
      </c>
      <c r="F456">
        <v>23</v>
      </c>
      <c r="G456" t="b">
        <v>0</v>
      </c>
      <c r="H456">
        <v>4</v>
      </c>
      <c r="I456">
        <v>2</v>
      </c>
      <c r="J456">
        <v>0.24</v>
      </c>
    </row>
    <row r="457" spans="1:10" x14ac:dyDescent="0.3">
      <c r="A457">
        <v>456</v>
      </c>
      <c r="B457" s="1">
        <v>40564</v>
      </c>
      <c r="C457">
        <v>1</v>
      </c>
      <c r="D457">
        <v>0</v>
      </c>
      <c r="E457">
        <v>1</v>
      </c>
      <c r="F457">
        <v>0</v>
      </c>
      <c r="G457" t="b">
        <v>0</v>
      </c>
      <c r="H457">
        <v>5</v>
      </c>
      <c r="I457">
        <v>2</v>
      </c>
      <c r="J457">
        <v>0.24</v>
      </c>
    </row>
    <row r="458" spans="1:10" x14ac:dyDescent="0.3">
      <c r="A458">
        <v>457</v>
      </c>
      <c r="B458" s="1">
        <v>40564</v>
      </c>
      <c r="C458">
        <v>1</v>
      </c>
      <c r="D458">
        <v>0</v>
      </c>
      <c r="E458">
        <v>1</v>
      </c>
      <c r="F458">
        <v>1</v>
      </c>
      <c r="G458" t="b">
        <v>0</v>
      </c>
      <c r="H458">
        <v>5</v>
      </c>
      <c r="I458">
        <v>2</v>
      </c>
      <c r="J458">
        <v>0.24</v>
      </c>
    </row>
    <row r="459" spans="1:10" x14ac:dyDescent="0.3">
      <c r="A459">
        <v>458</v>
      </c>
      <c r="B459" s="1">
        <v>40564</v>
      </c>
      <c r="C459">
        <v>1</v>
      </c>
      <c r="D459">
        <v>0</v>
      </c>
      <c r="E459">
        <v>1</v>
      </c>
      <c r="F459">
        <v>2</v>
      </c>
      <c r="G459" t="b">
        <v>0</v>
      </c>
      <c r="H459">
        <v>5</v>
      </c>
      <c r="I459">
        <v>3</v>
      </c>
      <c r="J459">
        <v>0.24</v>
      </c>
    </row>
    <row r="460" spans="1:10" x14ac:dyDescent="0.3">
      <c r="A460">
        <v>459</v>
      </c>
      <c r="B460" s="1">
        <v>40564</v>
      </c>
      <c r="C460">
        <v>1</v>
      </c>
      <c r="D460">
        <v>0</v>
      </c>
      <c r="E460">
        <v>1</v>
      </c>
      <c r="F460">
        <v>3</v>
      </c>
      <c r="G460" t="b">
        <v>0</v>
      </c>
      <c r="H460">
        <v>5</v>
      </c>
      <c r="I460">
        <v>3</v>
      </c>
      <c r="J460">
        <v>0.22</v>
      </c>
    </row>
    <row r="461" spans="1:10" x14ac:dyDescent="0.3">
      <c r="A461">
        <v>460</v>
      </c>
      <c r="B461" s="1">
        <v>40564</v>
      </c>
      <c r="C461">
        <v>1</v>
      </c>
      <c r="D461">
        <v>0</v>
      </c>
      <c r="E461">
        <v>1</v>
      </c>
      <c r="F461">
        <v>4</v>
      </c>
      <c r="G461" t="b">
        <v>0</v>
      </c>
      <c r="H461">
        <v>5</v>
      </c>
      <c r="I461">
        <v>2</v>
      </c>
      <c r="J461">
        <v>0.22</v>
      </c>
    </row>
    <row r="462" spans="1:10" x14ac:dyDescent="0.3">
      <c r="A462">
        <v>461</v>
      </c>
      <c r="B462" s="1">
        <v>40564</v>
      </c>
      <c r="C462">
        <v>1</v>
      </c>
      <c r="D462">
        <v>0</v>
      </c>
      <c r="E462">
        <v>1</v>
      </c>
      <c r="F462">
        <v>5</v>
      </c>
      <c r="G462" t="b">
        <v>0</v>
      </c>
      <c r="H462">
        <v>5</v>
      </c>
      <c r="I462">
        <v>1</v>
      </c>
      <c r="J462">
        <v>0.24</v>
      </c>
    </row>
    <row r="463" spans="1:10" x14ac:dyDescent="0.3">
      <c r="A463">
        <v>462</v>
      </c>
      <c r="B463" s="1">
        <v>40564</v>
      </c>
      <c r="C463">
        <v>1</v>
      </c>
      <c r="D463">
        <v>0</v>
      </c>
      <c r="E463">
        <v>1</v>
      </c>
      <c r="F463">
        <v>6</v>
      </c>
      <c r="G463" t="b">
        <v>0</v>
      </c>
      <c r="H463">
        <v>5</v>
      </c>
      <c r="I463">
        <v>1</v>
      </c>
      <c r="J463">
        <v>0.22</v>
      </c>
    </row>
    <row r="464" spans="1:10" x14ac:dyDescent="0.3">
      <c r="A464">
        <v>463</v>
      </c>
      <c r="B464" s="1">
        <v>40564</v>
      </c>
      <c r="C464">
        <v>1</v>
      </c>
      <c r="D464">
        <v>0</v>
      </c>
      <c r="E464">
        <v>1</v>
      </c>
      <c r="F464">
        <v>7</v>
      </c>
      <c r="G464" t="b">
        <v>0</v>
      </c>
      <c r="H464">
        <v>5</v>
      </c>
      <c r="I464">
        <v>1</v>
      </c>
      <c r="J464">
        <v>0.2</v>
      </c>
    </row>
    <row r="465" spans="1:10" x14ac:dyDescent="0.3">
      <c r="A465">
        <v>464</v>
      </c>
      <c r="B465" s="1">
        <v>40564</v>
      </c>
      <c r="C465">
        <v>1</v>
      </c>
      <c r="D465">
        <v>0</v>
      </c>
      <c r="E465">
        <v>1</v>
      </c>
      <c r="F465">
        <v>8</v>
      </c>
      <c r="G465" t="b">
        <v>0</v>
      </c>
      <c r="H465">
        <v>5</v>
      </c>
      <c r="I465">
        <v>1</v>
      </c>
      <c r="J465">
        <v>0.2</v>
      </c>
    </row>
    <row r="466" spans="1:10" x14ac:dyDescent="0.3">
      <c r="A466">
        <v>465</v>
      </c>
      <c r="B466" s="1">
        <v>40564</v>
      </c>
      <c r="C466">
        <v>1</v>
      </c>
      <c r="D466">
        <v>0</v>
      </c>
      <c r="E466">
        <v>1</v>
      </c>
      <c r="F466">
        <v>9</v>
      </c>
      <c r="G466" t="b">
        <v>0</v>
      </c>
      <c r="H466">
        <v>5</v>
      </c>
      <c r="I466">
        <v>1</v>
      </c>
      <c r="J466">
        <v>0.2</v>
      </c>
    </row>
    <row r="467" spans="1:10" x14ac:dyDescent="0.3">
      <c r="A467">
        <v>466</v>
      </c>
      <c r="B467" s="1">
        <v>40564</v>
      </c>
      <c r="C467">
        <v>1</v>
      </c>
      <c r="D467">
        <v>0</v>
      </c>
      <c r="E467">
        <v>1</v>
      </c>
      <c r="F467">
        <v>10</v>
      </c>
      <c r="G467" t="b">
        <v>0</v>
      </c>
      <c r="H467">
        <v>5</v>
      </c>
      <c r="I467">
        <v>1</v>
      </c>
      <c r="J467">
        <v>0.2</v>
      </c>
    </row>
    <row r="468" spans="1:10" x14ac:dyDescent="0.3">
      <c r="A468">
        <v>467</v>
      </c>
      <c r="B468" s="1">
        <v>40564</v>
      </c>
      <c r="C468">
        <v>1</v>
      </c>
      <c r="D468">
        <v>0</v>
      </c>
      <c r="E468">
        <v>1</v>
      </c>
      <c r="F468">
        <v>11</v>
      </c>
      <c r="G468" t="b">
        <v>0</v>
      </c>
      <c r="H468">
        <v>5</v>
      </c>
      <c r="I468">
        <v>1</v>
      </c>
      <c r="J468">
        <v>0.22</v>
      </c>
    </row>
    <row r="469" spans="1:10" x14ac:dyDescent="0.3">
      <c r="A469">
        <v>468</v>
      </c>
      <c r="B469" s="1">
        <v>40564</v>
      </c>
      <c r="C469">
        <v>1</v>
      </c>
      <c r="D469">
        <v>0</v>
      </c>
      <c r="E469">
        <v>1</v>
      </c>
      <c r="F469">
        <v>12</v>
      </c>
      <c r="G469" t="b">
        <v>0</v>
      </c>
      <c r="H469">
        <v>5</v>
      </c>
      <c r="I469">
        <v>1</v>
      </c>
      <c r="J469">
        <v>0.22</v>
      </c>
    </row>
    <row r="470" spans="1:10" x14ac:dyDescent="0.3">
      <c r="A470">
        <v>469</v>
      </c>
      <c r="B470" s="1">
        <v>40564</v>
      </c>
      <c r="C470">
        <v>1</v>
      </c>
      <c r="D470">
        <v>0</v>
      </c>
      <c r="E470">
        <v>1</v>
      </c>
      <c r="F470">
        <v>13</v>
      </c>
      <c r="G470" t="b">
        <v>0</v>
      </c>
      <c r="H470">
        <v>5</v>
      </c>
      <c r="I470">
        <v>1</v>
      </c>
      <c r="J470">
        <v>0.2</v>
      </c>
    </row>
    <row r="471" spans="1:10" x14ac:dyDescent="0.3">
      <c r="A471">
        <v>470</v>
      </c>
      <c r="B471" s="1">
        <v>40564</v>
      </c>
      <c r="C471">
        <v>1</v>
      </c>
      <c r="D471">
        <v>0</v>
      </c>
      <c r="E471">
        <v>1</v>
      </c>
      <c r="F471">
        <v>14</v>
      </c>
      <c r="G471" t="b">
        <v>0</v>
      </c>
      <c r="H471">
        <v>5</v>
      </c>
      <c r="I471">
        <v>1</v>
      </c>
      <c r="J471">
        <v>0.2</v>
      </c>
    </row>
    <row r="472" spans="1:10" x14ac:dyDescent="0.3">
      <c r="A472">
        <v>471</v>
      </c>
      <c r="B472" s="1">
        <v>40564</v>
      </c>
      <c r="C472">
        <v>1</v>
      </c>
      <c r="D472">
        <v>0</v>
      </c>
      <c r="E472">
        <v>1</v>
      </c>
      <c r="F472">
        <v>15</v>
      </c>
      <c r="G472" t="b">
        <v>0</v>
      </c>
      <c r="H472">
        <v>5</v>
      </c>
      <c r="I472">
        <v>1</v>
      </c>
      <c r="J472">
        <v>0.16</v>
      </c>
    </row>
    <row r="473" spans="1:10" x14ac:dyDescent="0.3">
      <c r="A473">
        <v>472</v>
      </c>
      <c r="B473" s="1">
        <v>40564</v>
      </c>
      <c r="C473">
        <v>1</v>
      </c>
      <c r="D473">
        <v>0</v>
      </c>
      <c r="E473">
        <v>1</v>
      </c>
      <c r="F473">
        <v>16</v>
      </c>
      <c r="G473" t="b">
        <v>0</v>
      </c>
      <c r="H473">
        <v>5</v>
      </c>
      <c r="I473">
        <v>1</v>
      </c>
      <c r="J473">
        <v>0.16</v>
      </c>
    </row>
    <row r="474" spans="1:10" x14ac:dyDescent="0.3">
      <c r="A474">
        <v>473</v>
      </c>
      <c r="B474" s="1">
        <v>40564</v>
      </c>
      <c r="C474">
        <v>1</v>
      </c>
      <c r="D474">
        <v>0</v>
      </c>
      <c r="E474">
        <v>1</v>
      </c>
      <c r="F474">
        <v>17</v>
      </c>
      <c r="G474" t="b">
        <v>0</v>
      </c>
      <c r="H474">
        <v>5</v>
      </c>
      <c r="I474">
        <v>1</v>
      </c>
      <c r="J474">
        <v>0.14000000000000001</v>
      </c>
    </row>
    <row r="475" spans="1:10" x14ac:dyDescent="0.3">
      <c r="A475">
        <v>474</v>
      </c>
      <c r="B475" s="1">
        <v>40564</v>
      </c>
      <c r="C475">
        <v>1</v>
      </c>
      <c r="D475">
        <v>0</v>
      </c>
      <c r="E475">
        <v>1</v>
      </c>
      <c r="F475">
        <v>18</v>
      </c>
      <c r="G475" t="b">
        <v>0</v>
      </c>
      <c r="H475">
        <v>5</v>
      </c>
      <c r="I475">
        <v>1</v>
      </c>
      <c r="J475">
        <v>0.12</v>
      </c>
    </row>
    <row r="476" spans="1:10" x14ac:dyDescent="0.3">
      <c r="A476">
        <v>475</v>
      </c>
      <c r="B476" s="1">
        <v>40564</v>
      </c>
      <c r="C476">
        <v>1</v>
      </c>
      <c r="D476">
        <v>0</v>
      </c>
      <c r="E476">
        <v>1</v>
      </c>
      <c r="F476">
        <v>19</v>
      </c>
      <c r="G476" t="b">
        <v>0</v>
      </c>
      <c r="H476">
        <v>5</v>
      </c>
      <c r="I476">
        <v>1</v>
      </c>
      <c r="J476">
        <v>0.12</v>
      </c>
    </row>
    <row r="477" spans="1:10" x14ac:dyDescent="0.3">
      <c r="A477">
        <v>476</v>
      </c>
      <c r="B477" s="1">
        <v>40564</v>
      </c>
      <c r="C477">
        <v>1</v>
      </c>
      <c r="D477">
        <v>0</v>
      </c>
      <c r="E477">
        <v>1</v>
      </c>
      <c r="F477">
        <v>20</v>
      </c>
      <c r="G477" t="b">
        <v>0</v>
      </c>
      <c r="H477">
        <v>5</v>
      </c>
      <c r="I477">
        <v>1</v>
      </c>
      <c r="J477">
        <v>0.1</v>
      </c>
    </row>
    <row r="478" spans="1:10" x14ac:dyDescent="0.3">
      <c r="A478">
        <v>477</v>
      </c>
      <c r="B478" s="1">
        <v>40564</v>
      </c>
      <c r="C478">
        <v>1</v>
      </c>
      <c r="D478">
        <v>0</v>
      </c>
      <c r="E478">
        <v>1</v>
      </c>
      <c r="F478">
        <v>21</v>
      </c>
      <c r="G478" t="b">
        <v>0</v>
      </c>
      <c r="H478">
        <v>5</v>
      </c>
      <c r="I478">
        <v>1</v>
      </c>
      <c r="J478">
        <v>0.08</v>
      </c>
    </row>
    <row r="479" spans="1:10" x14ac:dyDescent="0.3">
      <c r="A479">
        <v>478</v>
      </c>
      <c r="B479" s="1">
        <v>40564</v>
      </c>
      <c r="C479">
        <v>1</v>
      </c>
      <c r="D479">
        <v>0</v>
      </c>
      <c r="E479">
        <v>1</v>
      </c>
      <c r="F479">
        <v>22</v>
      </c>
      <c r="G479" t="b">
        <v>0</v>
      </c>
      <c r="H479">
        <v>5</v>
      </c>
      <c r="I479">
        <v>1</v>
      </c>
      <c r="J479">
        <v>0.06</v>
      </c>
    </row>
    <row r="480" spans="1:10" x14ac:dyDescent="0.3">
      <c r="A480">
        <v>479</v>
      </c>
      <c r="B480" s="1">
        <v>40564</v>
      </c>
      <c r="C480">
        <v>1</v>
      </c>
      <c r="D480">
        <v>0</v>
      </c>
      <c r="E480">
        <v>1</v>
      </c>
      <c r="F480">
        <v>23</v>
      </c>
      <c r="G480" t="b">
        <v>0</v>
      </c>
      <c r="H480">
        <v>5</v>
      </c>
      <c r="I480">
        <v>1</v>
      </c>
      <c r="J480">
        <v>0.06</v>
      </c>
    </row>
    <row r="481" spans="1:10" x14ac:dyDescent="0.3">
      <c r="A481">
        <v>480</v>
      </c>
      <c r="B481" s="1">
        <v>40565</v>
      </c>
      <c r="C481">
        <v>1</v>
      </c>
      <c r="D481">
        <v>0</v>
      </c>
      <c r="E481">
        <v>1</v>
      </c>
      <c r="F481">
        <v>0</v>
      </c>
      <c r="G481" t="b">
        <v>0</v>
      </c>
      <c r="H481">
        <v>6</v>
      </c>
      <c r="I481">
        <v>1</v>
      </c>
      <c r="J481">
        <v>0.04</v>
      </c>
    </row>
    <row r="482" spans="1:10" x14ac:dyDescent="0.3">
      <c r="A482">
        <v>481</v>
      </c>
      <c r="B482" s="1">
        <v>40565</v>
      </c>
      <c r="C482">
        <v>1</v>
      </c>
      <c r="D482">
        <v>0</v>
      </c>
      <c r="E482">
        <v>1</v>
      </c>
      <c r="F482">
        <v>1</v>
      </c>
      <c r="G482" t="b">
        <v>0</v>
      </c>
      <c r="H482">
        <v>6</v>
      </c>
      <c r="I482">
        <v>2</v>
      </c>
      <c r="J482">
        <v>0.04</v>
      </c>
    </row>
    <row r="483" spans="1:10" x14ac:dyDescent="0.3">
      <c r="A483">
        <v>482</v>
      </c>
      <c r="B483" s="1">
        <v>40565</v>
      </c>
      <c r="C483">
        <v>1</v>
      </c>
      <c r="D483">
        <v>0</v>
      </c>
      <c r="E483">
        <v>1</v>
      </c>
      <c r="F483">
        <v>2</v>
      </c>
      <c r="G483" t="b">
        <v>0</v>
      </c>
      <c r="H483">
        <v>6</v>
      </c>
      <c r="I483">
        <v>2</v>
      </c>
      <c r="J483">
        <v>0.04</v>
      </c>
    </row>
    <row r="484" spans="1:10" x14ac:dyDescent="0.3">
      <c r="A484">
        <v>483</v>
      </c>
      <c r="B484" s="1">
        <v>40565</v>
      </c>
      <c r="C484">
        <v>1</v>
      </c>
      <c r="D484">
        <v>0</v>
      </c>
      <c r="E484">
        <v>1</v>
      </c>
      <c r="F484">
        <v>3</v>
      </c>
      <c r="G484" t="b">
        <v>0</v>
      </c>
      <c r="H484">
        <v>6</v>
      </c>
      <c r="I484">
        <v>2</v>
      </c>
      <c r="J484">
        <v>0.04</v>
      </c>
    </row>
    <row r="485" spans="1:10" x14ac:dyDescent="0.3">
      <c r="A485">
        <v>484</v>
      </c>
      <c r="B485" s="1">
        <v>40565</v>
      </c>
      <c r="C485">
        <v>1</v>
      </c>
      <c r="D485">
        <v>0</v>
      </c>
      <c r="E485">
        <v>1</v>
      </c>
      <c r="F485">
        <v>4</v>
      </c>
      <c r="G485" t="b">
        <v>0</v>
      </c>
      <c r="H485">
        <v>6</v>
      </c>
      <c r="I485">
        <v>2</v>
      </c>
      <c r="J485">
        <v>0.02</v>
      </c>
    </row>
    <row r="486" spans="1:10" x14ac:dyDescent="0.3">
      <c r="A486">
        <v>485</v>
      </c>
      <c r="B486" s="1">
        <v>40565</v>
      </c>
      <c r="C486">
        <v>1</v>
      </c>
      <c r="D486">
        <v>0</v>
      </c>
      <c r="E486">
        <v>1</v>
      </c>
      <c r="F486">
        <v>6</v>
      </c>
      <c r="G486" t="b">
        <v>0</v>
      </c>
      <c r="H486">
        <v>6</v>
      </c>
      <c r="I486">
        <v>2</v>
      </c>
      <c r="J486">
        <v>0.02</v>
      </c>
    </row>
    <row r="487" spans="1:10" x14ac:dyDescent="0.3">
      <c r="A487">
        <v>486</v>
      </c>
      <c r="B487" s="1">
        <v>40565</v>
      </c>
      <c r="C487">
        <v>1</v>
      </c>
      <c r="D487">
        <v>0</v>
      </c>
      <c r="E487">
        <v>1</v>
      </c>
      <c r="F487">
        <v>7</v>
      </c>
      <c r="G487" t="b">
        <v>0</v>
      </c>
      <c r="H487">
        <v>6</v>
      </c>
      <c r="I487">
        <v>1</v>
      </c>
      <c r="J487">
        <v>0.02</v>
      </c>
    </row>
    <row r="488" spans="1:10" x14ac:dyDescent="0.3">
      <c r="A488">
        <v>487</v>
      </c>
      <c r="B488" s="1">
        <v>40565</v>
      </c>
      <c r="C488">
        <v>1</v>
      </c>
      <c r="D488">
        <v>0</v>
      </c>
      <c r="E488">
        <v>1</v>
      </c>
      <c r="F488">
        <v>8</v>
      </c>
      <c r="G488" t="b">
        <v>0</v>
      </c>
      <c r="H488">
        <v>6</v>
      </c>
      <c r="I488">
        <v>1</v>
      </c>
      <c r="J488">
        <v>0.02</v>
      </c>
    </row>
    <row r="489" spans="1:10" x14ac:dyDescent="0.3">
      <c r="A489">
        <v>488</v>
      </c>
      <c r="B489" s="1">
        <v>40565</v>
      </c>
      <c r="C489">
        <v>1</v>
      </c>
      <c r="D489">
        <v>0</v>
      </c>
      <c r="E489">
        <v>1</v>
      </c>
      <c r="F489">
        <v>9</v>
      </c>
      <c r="G489" t="b">
        <v>0</v>
      </c>
      <c r="H489">
        <v>6</v>
      </c>
      <c r="I489">
        <v>1</v>
      </c>
      <c r="J489">
        <v>0.04</v>
      </c>
    </row>
    <row r="490" spans="1:10" x14ac:dyDescent="0.3">
      <c r="A490">
        <v>489</v>
      </c>
      <c r="B490" s="1">
        <v>40565</v>
      </c>
      <c r="C490">
        <v>1</v>
      </c>
      <c r="D490">
        <v>0</v>
      </c>
      <c r="E490">
        <v>1</v>
      </c>
      <c r="F490">
        <v>10</v>
      </c>
      <c r="G490" t="b">
        <v>0</v>
      </c>
      <c r="H490">
        <v>6</v>
      </c>
      <c r="I490">
        <v>2</v>
      </c>
      <c r="J490">
        <v>0.04</v>
      </c>
    </row>
    <row r="491" spans="1:10" x14ac:dyDescent="0.3">
      <c r="A491">
        <v>490</v>
      </c>
      <c r="B491" s="1">
        <v>40565</v>
      </c>
      <c r="C491">
        <v>1</v>
      </c>
      <c r="D491">
        <v>0</v>
      </c>
      <c r="E491">
        <v>1</v>
      </c>
      <c r="F491">
        <v>11</v>
      </c>
      <c r="G491" t="b">
        <v>0</v>
      </c>
      <c r="H491">
        <v>6</v>
      </c>
      <c r="I491">
        <v>2</v>
      </c>
      <c r="J491">
        <v>0.06</v>
      </c>
    </row>
    <row r="492" spans="1:10" x14ac:dyDescent="0.3">
      <c r="A492">
        <v>491</v>
      </c>
      <c r="B492" s="1">
        <v>40565</v>
      </c>
      <c r="C492">
        <v>1</v>
      </c>
      <c r="D492">
        <v>0</v>
      </c>
      <c r="E492">
        <v>1</v>
      </c>
      <c r="F492">
        <v>12</v>
      </c>
      <c r="G492" t="b">
        <v>0</v>
      </c>
      <c r="H492">
        <v>6</v>
      </c>
      <c r="I492">
        <v>2</v>
      </c>
      <c r="J492">
        <v>0.06</v>
      </c>
    </row>
    <row r="493" spans="1:10" x14ac:dyDescent="0.3">
      <c r="A493">
        <v>492</v>
      </c>
      <c r="B493" s="1">
        <v>40565</v>
      </c>
      <c r="C493">
        <v>1</v>
      </c>
      <c r="D493">
        <v>0</v>
      </c>
      <c r="E493">
        <v>1</v>
      </c>
      <c r="F493">
        <v>13</v>
      </c>
      <c r="G493" t="b">
        <v>0</v>
      </c>
      <c r="H493">
        <v>6</v>
      </c>
      <c r="I493">
        <v>1</v>
      </c>
      <c r="J493">
        <v>0.08</v>
      </c>
    </row>
    <row r="494" spans="1:10" x14ac:dyDescent="0.3">
      <c r="A494">
        <v>493</v>
      </c>
      <c r="B494" s="1">
        <v>40565</v>
      </c>
      <c r="C494">
        <v>1</v>
      </c>
      <c r="D494">
        <v>0</v>
      </c>
      <c r="E494">
        <v>1</v>
      </c>
      <c r="F494">
        <v>14</v>
      </c>
      <c r="G494" t="b">
        <v>0</v>
      </c>
      <c r="H494">
        <v>6</v>
      </c>
      <c r="I494">
        <v>1</v>
      </c>
      <c r="J494">
        <v>0.1</v>
      </c>
    </row>
    <row r="495" spans="1:10" x14ac:dyDescent="0.3">
      <c r="A495">
        <v>494</v>
      </c>
      <c r="B495" s="1">
        <v>40565</v>
      </c>
      <c r="C495">
        <v>1</v>
      </c>
      <c r="D495">
        <v>0</v>
      </c>
      <c r="E495">
        <v>1</v>
      </c>
      <c r="F495">
        <v>15</v>
      </c>
      <c r="G495" t="b">
        <v>0</v>
      </c>
      <c r="H495">
        <v>6</v>
      </c>
      <c r="I495">
        <v>1</v>
      </c>
      <c r="J495">
        <v>0.12</v>
      </c>
    </row>
    <row r="496" spans="1:10" x14ac:dyDescent="0.3">
      <c r="A496">
        <v>495</v>
      </c>
      <c r="B496" s="1">
        <v>40565</v>
      </c>
      <c r="C496">
        <v>1</v>
      </c>
      <c r="D496">
        <v>0</v>
      </c>
      <c r="E496">
        <v>1</v>
      </c>
      <c r="F496">
        <v>16</v>
      </c>
      <c r="G496" t="b">
        <v>0</v>
      </c>
      <c r="H496">
        <v>6</v>
      </c>
      <c r="I496">
        <v>1</v>
      </c>
      <c r="J496">
        <v>0.12</v>
      </c>
    </row>
    <row r="497" spans="1:10" x14ac:dyDescent="0.3">
      <c r="A497">
        <v>496</v>
      </c>
      <c r="B497" s="1">
        <v>40565</v>
      </c>
      <c r="C497">
        <v>1</v>
      </c>
      <c r="D497">
        <v>0</v>
      </c>
      <c r="E497">
        <v>1</v>
      </c>
      <c r="F497">
        <v>17</v>
      </c>
      <c r="G497" t="b">
        <v>0</v>
      </c>
      <c r="H497">
        <v>6</v>
      </c>
      <c r="I497">
        <v>1</v>
      </c>
      <c r="J497">
        <v>0.12</v>
      </c>
    </row>
    <row r="498" spans="1:10" x14ac:dyDescent="0.3">
      <c r="A498">
        <v>497</v>
      </c>
      <c r="B498" s="1">
        <v>40565</v>
      </c>
      <c r="C498">
        <v>1</v>
      </c>
      <c r="D498">
        <v>0</v>
      </c>
      <c r="E498">
        <v>1</v>
      </c>
      <c r="F498">
        <v>18</v>
      </c>
      <c r="G498" t="b">
        <v>0</v>
      </c>
      <c r="H498">
        <v>6</v>
      </c>
      <c r="I498">
        <v>1</v>
      </c>
      <c r="J498">
        <v>0.08</v>
      </c>
    </row>
    <row r="499" spans="1:10" x14ac:dyDescent="0.3">
      <c r="A499">
        <v>498</v>
      </c>
      <c r="B499" s="1">
        <v>40565</v>
      </c>
      <c r="C499">
        <v>1</v>
      </c>
      <c r="D499">
        <v>0</v>
      </c>
      <c r="E499">
        <v>1</v>
      </c>
      <c r="F499">
        <v>19</v>
      </c>
      <c r="G499" t="b">
        <v>0</v>
      </c>
      <c r="H499">
        <v>6</v>
      </c>
      <c r="I499">
        <v>1</v>
      </c>
      <c r="J499">
        <v>0.08</v>
      </c>
    </row>
    <row r="500" spans="1:10" x14ac:dyDescent="0.3">
      <c r="A500">
        <v>499</v>
      </c>
      <c r="B500" s="1">
        <v>40565</v>
      </c>
      <c r="C500">
        <v>1</v>
      </c>
      <c r="D500">
        <v>0</v>
      </c>
      <c r="E500">
        <v>1</v>
      </c>
      <c r="F500">
        <v>20</v>
      </c>
      <c r="G500" t="b">
        <v>0</v>
      </c>
      <c r="H500">
        <v>6</v>
      </c>
      <c r="I500">
        <v>1</v>
      </c>
      <c r="J500">
        <v>0.06</v>
      </c>
    </row>
    <row r="501" spans="1:10" x14ac:dyDescent="0.3">
      <c r="A501">
        <v>500</v>
      </c>
      <c r="B501" s="1">
        <v>40565</v>
      </c>
      <c r="C501">
        <v>1</v>
      </c>
      <c r="D501">
        <v>0</v>
      </c>
      <c r="E501">
        <v>1</v>
      </c>
      <c r="F501">
        <v>21</v>
      </c>
      <c r="G501" t="b">
        <v>0</v>
      </c>
      <c r="H501">
        <v>6</v>
      </c>
      <c r="I501">
        <v>1</v>
      </c>
      <c r="J501">
        <v>0.06</v>
      </c>
    </row>
    <row r="502" spans="1:10" x14ac:dyDescent="0.3">
      <c r="A502">
        <v>501</v>
      </c>
      <c r="B502" s="1">
        <v>40565</v>
      </c>
      <c r="C502">
        <v>1</v>
      </c>
      <c r="D502">
        <v>0</v>
      </c>
      <c r="E502">
        <v>1</v>
      </c>
      <c r="F502">
        <v>22</v>
      </c>
      <c r="G502" t="b">
        <v>0</v>
      </c>
      <c r="H502">
        <v>6</v>
      </c>
      <c r="I502">
        <v>1</v>
      </c>
      <c r="J502">
        <v>0.06</v>
      </c>
    </row>
    <row r="503" spans="1:10" x14ac:dyDescent="0.3">
      <c r="A503">
        <v>502</v>
      </c>
      <c r="B503" s="1">
        <v>40565</v>
      </c>
      <c r="C503">
        <v>1</v>
      </c>
      <c r="D503">
        <v>0</v>
      </c>
      <c r="E503">
        <v>1</v>
      </c>
      <c r="F503">
        <v>23</v>
      </c>
      <c r="G503" t="b">
        <v>0</v>
      </c>
      <c r="H503">
        <v>6</v>
      </c>
      <c r="I503">
        <v>1</v>
      </c>
      <c r="J503">
        <v>0.04</v>
      </c>
    </row>
    <row r="504" spans="1:10" x14ac:dyDescent="0.3">
      <c r="A504">
        <v>503</v>
      </c>
      <c r="B504" s="1">
        <v>40566</v>
      </c>
      <c r="C504">
        <v>1</v>
      </c>
      <c r="D504">
        <v>0</v>
      </c>
      <c r="E504">
        <v>1</v>
      </c>
      <c r="F504">
        <v>0</v>
      </c>
      <c r="G504" t="b">
        <v>0</v>
      </c>
      <c r="H504">
        <v>0</v>
      </c>
      <c r="I504">
        <v>1</v>
      </c>
      <c r="J504">
        <v>0.04</v>
      </c>
    </row>
    <row r="505" spans="1:10" x14ac:dyDescent="0.3">
      <c r="A505">
        <v>504</v>
      </c>
      <c r="B505" s="1">
        <v>40566</v>
      </c>
      <c r="C505">
        <v>1</v>
      </c>
      <c r="D505">
        <v>0</v>
      </c>
      <c r="E505">
        <v>1</v>
      </c>
      <c r="F505">
        <v>1</v>
      </c>
      <c r="G505" t="b">
        <v>0</v>
      </c>
      <c r="H505">
        <v>0</v>
      </c>
      <c r="I505">
        <v>1</v>
      </c>
      <c r="J505">
        <v>0.04</v>
      </c>
    </row>
    <row r="506" spans="1:10" x14ac:dyDescent="0.3">
      <c r="A506">
        <v>505</v>
      </c>
      <c r="B506" s="1">
        <v>40566</v>
      </c>
      <c r="C506">
        <v>1</v>
      </c>
      <c r="D506">
        <v>0</v>
      </c>
      <c r="E506">
        <v>1</v>
      </c>
      <c r="F506">
        <v>2</v>
      </c>
      <c r="G506" t="b">
        <v>0</v>
      </c>
      <c r="H506">
        <v>0</v>
      </c>
      <c r="I506">
        <v>1</v>
      </c>
      <c r="J506">
        <v>0.02</v>
      </c>
    </row>
    <row r="507" spans="1:10" x14ac:dyDescent="0.3">
      <c r="A507">
        <v>506</v>
      </c>
      <c r="B507" s="1">
        <v>40566</v>
      </c>
      <c r="C507">
        <v>1</v>
      </c>
      <c r="D507">
        <v>0</v>
      </c>
      <c r="E507">
        <v>1</v>
      </c>
      <c r="F507">
        <v>3</v>
      </c>
      <c r="G507" t="b">
        <v>0</v>
      </c>
      <c r="H507">
        <v>0</v>
      </c>
      <c r="I507">
        <v>1</v>
      </c>
      <c r="J507">
        <v>0.02</v>
      </c>
    </row>
    <row r="508" spans="1:10" x14ac:dyDescent="0.3">
      <c r="A508">
        <v>507</v>
      </c>
      <c r="B508" s="1">
        <v>40566</v>
      </c>
      <c r="C508">
        <v>1</v>
      </c>
      <c r="D508">
        <v>0</v>
      </c>
      <c r="E508">
        <v>1</v>
      </c>
      <c r="F508">
        <v>5</v>
      </c>
      <c r="G508" t="b">
        <v>0</v>
      </c>
      <c r="H508">
        <v>0</v>
      </c>
      <c r="I508">
        <v>2</v>
      </c>
      <c r="J508">
        <v>0.04</v>
      </c>
    </row>
    <row r="509" spans="1:10" x14ac:dyDescent="0.3">
      <c r="A509">
        <v>508</v>
      </c>
      <c r="B509" s="1">
        <v>40566</v>
      </c>
      <c r="C509">
        <v>1</v>
      </c>
      <c r="D509">
        <v>0</v>
      </c>
      <c r="E509">
        <v>1</v>
      </c>
      <c r="F509">
        <v>6</v>
      </c>
      <c r="G509" t="b">
        <v>0</v>
      </c>
      <c r="H509">
        <v>0</v>
      </c>
      <c r="I509">
        <v>2</v>
      </c>
      <c r="J509">
        <v>0.04</v>
      </c>
    </row>
    <row r="510" spans="1:10" x14ac:dyDescent="0.3">
      <c r="A510">
        <v>509</v>
      </c>
      <c r="B510" s="1">
        <v>40566</v>
      </c>
      <c r="C510">
        <v>1</v>
      </c>
      <c r="D510">
        <v>0</v>
      </c>
      <c r="E510">
        <v>1</v>
      </c>
      <c r="F510">
        <v>7</v>
      </c>
      <c r="G510" t="b">
        <v>0</v>
      </c>
      <c r="H510">
        <v>0</v>
      </c>
      <c r="I510">
        <v>1</v>
      </c>
      <c r="J510">
        <v>0.08</v>
      </c>
    </row>
    <row r="511" spans="1:10" x14ac:dyDescent="0.3">
      <c r="A511">
        <v>510</v>
      </c>
      <c r="B511" s="1">
        <v>40566</v>
      </c>
      <c r="C511">
        <v>1</v>
      </c>
      <c r="D511">
        <v>0</v>
      </c>
      <c r="E511">
        <v>1</v>
      </c>
      <c r="F511">
        <v>8</v>
      </c>
      <c r="G511" t="b">
        <v>0</v>
      </c>
      <c r="H511">
        <v>0</v>
      </c>
      <c r="I511">
        <v>1</v>
      </c>
      <c r="J511">
        <v>0.06</v>
      </c>
    </row>
    <row r="512" spans="1:10" x14ac:dyDescent="0.3">
      <c r="A512">
        <v>511</v>
      </c>
      <c r="B512" s="1">
        <v>40566</v>
      </c>
      <c r="C512">
        <v>1</v>
      </c>
      <c r="D512">
        <v>0</v>
      </c>
      <c r="E512">
        <v>1</v>
      </c>
      <c r="F512">
        <v>9</v>
      </c>
      <c r="G512" t="b">
        <v>0</v>
      </c>
      <c r="H512">
        <v>0</v>
      </c>
      <c r="I512">
        <v>1</v>
      </c>
      <c r="J512">
        <v>0.1</v>
      </c>
    </row>
    <row r="513" spans="1:10" x14ac:dyDescent="0.3">
      <c r="A513">
        <v>512</v>
      </c>
      <c r="B513" s="1">
        <v>40566</v>
      </c>
      <c r="C513">
        <v>1</v>
      </c>
      <c r="D513">
        <v>0</v>
      </c>
      <c r="E513">
        <v>1</v>
      </c>
      <c r="F513">
        <v>10</v>
      </c>
      <c r="G513" t="b">
        <v>0</v>
      </c>
      <c r="H513">
        <v>0</v>
      </c>
      <c r="I513">
        <v>1</v>
      </c>
      <c r="J513">
        <v>0.14000000000000001</v>
      </c>
    </row>
    <row r="514" spans="1:10" x14ac:dyDescent="0.3">
      <c r="A514">
        <v>513</v>
      </c>
      <c r="B514" s="1">
        <v>40566</v>
      </c>
      <c r="C514">
        <v>1</v>
      </c>
      <c r="D514">
        <v>0</v>
      </c>
      <c r="E514">
        <v>1</v>
      </c>
      <c r="F514">
        <v>11</v>
      </c>
      <c r="G514" t="b">
        <v>0</v>
      </c>
      <c r="H514">
        <v>0</v>
      </c>
      <c r="I514">
        <v>1</v>
      </c>
      <c r="J514">
        <v>0.14000000000000001</v>
      </c>
    </row>
    <row r="515" spans="1:10" x14ac:dyDescent="0.3">
      <c r="A515">
        <v>514</v>
      </c>
      <c r="B515" s="1">
        <v>40566</v>
      </c>
      <c r="C515">
        <v>1</v>
      </c>
      <c r="D515">
        <v>0</v>
      </c>
      <c r="E515">
        <v>1</v>
      </c>
      <c r="F515">
        <v>12</v>
      </c>
      <c r="G515" t="b">
        <v>0</v>
      </c>
      <c r="H515">
        <v>0</v>
      </c>
      <c r="I515">
        <v>1</v>
      </c>
      <c r="J515">
        <v>0.16</v>
      </c>
    </row>
    <row r="516" spans="1:10" x14ac:dyDescent="0.3">
      <c r="A516">
        <v>515</v>
      </c>
      <c r="B516" s="1">
        <v>40566</v>
      </c>
      <c r="C516">
        <v>1</v>
      </c>
      <c r="D516">
        <v>0</v>
      </c>
      <c r="E516">
        <v>1</v>
      </c>
      <c r="F516">
        <v>13</v>
      </c>
      <c r="G516" t="b">
        <v>0</v>
      </c>
      <c r="H516">
        <v>0</v>
      </c>
      <c r="I516">
        <v>1</v>
      </c>
      <c r="J516">
        <v>0.14000000000000001</v>
      </c>
    </row>
    <row r="517" spans="1:10" x14ac:dyDescent="0.3">
      <c r="A517">
        <v>516</v>
      </c>
      <c r="B517" s="1">
        <v>40566</v>
      </c>
      <c r="C517">
        <v>1</v>
      </c>
      <c r="D517">
        <v>0</v>
      </c>
      <c r="E517">
        <v>1</v>
      </c>
      <c r="F517">
        <v>14</v>
      </c>
      <c r="G517" t="b">
        <v>0</v>
      </c>
      <c r="H517">
        <v>0</v>
      </c>
      <c r="I517">
        <v>1</v>
      </c>
      <c r="J517">
        <v>0.16</v>
      </c>
    </row>
    <row r="518" spans="1:10" x14ac:dyDescent="0.3">
      <c r="A518">
        <v>517</v>
      </c>
      <c r="B518" s="1">
        <v>40566</v>
      </c>
      <c r="C518">
        <v>1</v>
      </c>
      <c r="D518">
        <v>0</v>
      </c>
      <c r="E518">
        <v>1</v>
      </c>
      <c r="F518">
        <v>15</v>
      </c>
      <c r="G518" t="b">
        <v>0</v>
      </c>
      <c r="H518">
        <v>0</v>
      </c>
      <c r="I518">
        <v>1</v>
      </c>
      <c r="J518">
        <v>0.16</v>
      </c>
    </row>
    <row r="519" spans="1:10" x14ac:dyDescent="0.3">
      <c r="A519">
        <v>518</v>
      </c>
      <c r="B519" s="1">
        <v>40566</v>
      </c>
      <c r="C519">
        <v>1</v>
      </c>
      <c r="D519">
        <v>0</v>
      </c>
      <c r="E519">
        <v>1</v>
      </c>
      <c r="F519">
        <v>16</v>
      </c>
      <c r="G519" t="b">
        <v>0</v>
      </c>
      <c r="H519">
        <v>0</v>
      </c>
      <c r="I519">
        <v>1</v>
      </c>
      <c r="J519">
        <v>0.16</v>
      </c>
    </row>
    <row r="520" spans="1:10" x14ac:dyDescent="0.3">
      <c r="A520">
        <v>519</v>
      </c>
      <c r="B520" s="1">
        <v>40566</v>
      </c>
      <c r="C520">
        <v>1</v>
      </c>
      <c r="D520">
        <v>0</v>
      </c>
      <c r="E520">
        <v>1</v>
      </c>
      <c r="F520">
        <v>17</v>
      </c>
      <c r="G520" t="b">
        <v>0</v>
      </c>
      <c r="H520">
        <v>0</v>
      </c>
      <c r="I520">
        <v>1</v>
      </c>
      <c r="J520">
        <v>0.14000000000000001</v>
      </c>
    </row>
    <row r="521" spans="1:10" x14ac:dyDescent="0.3">
      <c r="A521">
        <v>520</v>
      </c>
      <c r="B521" s="1">
        <v>40566</v>
      </c>
      <c r="C521">
        <v>1</v>
      </c>
      <c r="D521">
        <v>0</v>
      </c>
      <c r="E521">
        <v>1</v>
      </c>
      <c r="F521">
        <v>18</v>
      </c>
      <c r="G521" t="b">
        <v>0</v>
      </c>
      <c r="H521">
        <v>0</v>
      </c>
      <c r="I521">
        <v>1</v>
      </c>
      <c r="J521">
        <v>0.12</v>
      </c>
    </row>
    <row r="522" spans="1:10" x14ac:dyDescent="0.3">
      <c r="A522">
        <v>521</v>
      </c>
      <c r="B522" s="1">
        <v>40566</v>
      </c>
      <c r="C522">
        <v>1</v>
      </c>
      <c r="D522">
        <v>0</v>
      </c>
      <c r="E522">
        <v>1</v>
      </c>
      <c r="F522">
        <v>19</v>
      </c>
      <c r="G522" t="b">
        <v>0</v>
      </c>
      <c r="H522">
        <v>0</v>
      </c>
      <c r="I522">
        <v>1</v>
      </c>
      <c r="J522">
        <v>0.12</v>
      </c>
    </row>
    <row r="523" spans="1:10" x14ac:dyDescent="0.3">
      <c r="A523">
        <v>522</v>
      </c>
      <c r="B523" s="1">
        <v>40566</v>
      </c>
      <c r="C523">
        <v>1</v>
      </c>
      <c r="D523">
        <v>0</v>
      </c>
      <c r="E523">
        <v>1</v>
      </c>
      <c r="F523">
        <v>20</v>
      </c>
      <c r="G523" t="b">
        <v>0</v>
      </c>
      <c r="H523">
        <v>0</v>
      </c>
      <c r="I523">
        <v>1</v>
      </c>
      <c r="J523">
        <v>0.1</v>
      </c>
    </row>
    <row r="524" spans="1:10" x14ac:dyDescent="0.3">
      <c r="A524">
        <v>523</v>
      </c>
      <c r="B524" s="1">
        <v>40566</v>
      </c>
      <c r="C524">
        <v>1</v>
      </c>
      <c r="D524">
        <v>0</v>
      </c>
      <c r="E524">
        <v>1</v>
      </c>
      <c r="F524">
        <v>21</v>
      </c>
      <c r="G524" t="b">
        <v>0</v>
      </c>
      <c r="H524">
        <v>0</v>
      </c>
      <c r="I524">
        <v>1</v>
      </c>
      <c r="J524">
        <v>0.1</v>
      </c>
    </row>
    <row r="525" spans="1:10" x14ac:dyDescent="0.3">
      <c r="A525">
        <v>524</v>
      </c>
      <c r="B525" s="1">
        <v>40566</v>
      </c>
      <c r="C525">
        <v>1</v>
      </c>
      <c r="D525">
        <v>0</v>
      </c>
      <c r="E525">
        <v>1</v>
      </c>
      <c r="F525">
        <v>22</v>
      </c>
      <c r="G525" t="b">
        <v>0</v>
      </c>
      <c r="H525">
        <v>0</v>
      </c>
      <c r="I525">
        <v>1</v>
      </c>
      <c r="J525">
        <v>0.08</v>
      </c>
    </row>
    <row r="526" spans="1:10" x14ac:dyDescent="0.3">
      <c r="A526">
        <v>525</v>
      </c>
      <c r="B526" s="1">
        <v>40566</v>
      </c>
      <c r="C526">
        <v>1</v>
      </c>
      <c r="D526">
        <v>0</v>
      </c>
      <c r="E526">
        <v>1</v>
      </c>
      <c r="F526">
        <v>23</v>
      </c>
      <c r="G526" t="b">
        <v>0</v>
      </c>
      <c r="H526">
        <v>0</v>
      </c>
      <c r="I526">
        <v>1</v>
      </c>
      <c r="J526">
        <v>0.06</v>
      </c>
    </row>
    <row r="527" spans="1:10" x14ac:dyDescent="0.3">
      <c r="A527">
        <v>526</v>
      </c>
      <c r="B527" s="1">
        <v>40567</v>
      </c>
      <c r="C527">
        <v>1</v>
      </c>
      <c r="D527">
        <v>0</v>
      </c>
      <c r="E527">
        <v>1</v>
      </c>
      <c r="F527">
        <v>0</v>
      </c>
      <c r="G527" t="b">
        <v>0</v>
      </c>
      <c r="H527">
        <v>1</v>
      </c>
      <c r="I527">
        <v>1</v>
      </c>
      <c r="J527">
        <v>0.06</v>
      </c>
    </row>
    <row r="528" spans="1:10" x14ac:dyDescent="0.3">
      <c r="A528">
        <v>527</v>
      </c>
      <c r="B528" s="1">
        <v>40567</v>
      </c>
      <c r="C528">
        <v>1</v>
      </c>
      <c r="D528">
        <v>0</v>
      </c>
      <c r="E528">
        <v>1</v>
      </c>
      <c r="F528">
        <v>1</v>
      </c>
      <c r="G528" t="b">
        <v>0</v>
      </c>
      <c r="H528">
        <v>1</v>
      </c>
      <c r="I528">
        <v>1</v>
      </c>
      <c r="J528">
        <v>0.04</v>
      </c>
    </row>
    <row r="529" spans="1:10" x14ac:dyDescent="0.3">
      <c r="A529">
        <v>528</v>
      </c>
      <c r="B529" s="1">
        <v>40567</v>
      </c>
      <c r="C529">
        <v>1</v>
      </c>
      <c r="D529">
        <v>0</v>
      </c>
      <c r="E529">
        <v>1</v>
      </c>
      <c r="F529">
        <v>3</v>
      </c>
      <c r="G529" t="b">
        <v>0</v>
      </c>
      <c r="H529">
        <v>1</v>
      </c>
      <c r="I529">
        <v>1</v>
      </c>
      <c r="J529">
        <v>0.04</v>
      </c>
    </row>
    <row r="530" spans="1:10" x14ac:dyDescent="0.3">
      <c r="A530">
        <v>529</v>
      </c>
      <c r="B530" s="1">
        <v>40567</v>
      </c>
      <c r="C530">
        <v>1</v>
      </c>
      <c r="D530">
        <v>0</v>
      </c>
      <c r="E530">
        <v>1</v>
      </c>
      <c r="F530">
        <v>4</v>
      </c>
      <c r="G530" t="b">
        <v>0</v>
      </c>
      <c r="H530">
        <v>1</v>
      </c>
      <c r="I530">
        <v>1</v>
      </c>
      <c r="J530">
        <v>0.02</v>
      </c>
    </row>
    <row r="531" spans="1:10" x14ac:dyDescent="0.3">
      <c r="A531">
        <v>530</v>
      </c>
      <c r="B531" s="1">
        <v>40567</v>
      </c>
      <c r="C531">
        <v>1</v>
      </c>
      <c r="D531">
        <v>0</v>
      </c>
      <c r="E531">
        <v>1</v>
      </c>
      <c r="F531">
        <v>5</v>
      </c>
      <c r="G531" t="b">
        <v>0</v>
      </c>
      <c r="H531">
        <v>1</v>
      </c>
      <c r="I531">
        <v>1</v>
      </c>
      <c r="J531">
        <v>0.02</v>
      </c>
    </row>
    <row r="532" spans="1:10" x14ac:dyDescent="0.3">
      <c r="A532">
        <v>531</v>
      </c>
      <c r="B532" s="1">
        <v>40567</v>
      </c>
      <c r="C532">
        <v>1</v>
      </c>
      <c r="D532">
        <v>0</v>
      </c>
      <c r="E532">
        <v>1</v>
      </c>
      <c r="F532">
        <v>6</v>
      </c>
      <c r="G532" t="b">
        <v>0</v>
      </c>
      <c r="H532">
        <v>1</v>
      </c>
      <c r="I532">
        <v>1</v>
      </c>
      <c r="J532">
        <v>0.02</v>
      </c>
    </row>
    <row r="533" spans="1:10" x14ac:dyDescent="0.3">
      <c r="A533">
        <v>532</v>
      </c>
      <c r="B533" s="1">
        <v>40567</v>
      </c>
      <c r="C533">
        <v>1</v>
      </c>
      <c r="D533">
        <v>0</v>
      </c>
      <c r="E533">
        <v>1</v>
      </c>
      <c r="F533">
        <v>7</v>
      </c>
      <c r="G533" t="b">
        <v>0</v>
      </c>
      <c r="H533">
        <v>1</v>
      </c>
      <c r="I533">
        <v>1</v>
      </c>
      <c r="J533">
        <v>0.02</v>
      </c>
    </row>
    <row r="534" spans="1:10" x14ac:dyDescent="0.3">
      <c r="A534">
        <v>533</v>
      </c>
      <c r="B534" s="1">
        <v>40567</v>
      </c>
      <c r="C534">
        <v>1</v>
      </c>
      <c r="D534">
        <v>0</v>
      </c>
      <c r="E534">
        <v>1</v>
      </c>
      <c r="F534">
        <v>8</v>
      </c>
      <c r="G534" t="b">
        <v>0</v>
      </c>
      <c r="H534">
        <v>1</v>
      </c>
      <c r="I534">
        <v>1</v>
      </c>
      <c r="J534">
        <v>0.04</v>
      </c>
    </row>
    <row r="535" spans="1:10" x14ac:dyDescent="0.3">
      <c r="A535">
        <v>534</v>
      </c>
      <c r="B535" s="1">
        <v>40567</v>
      </c>
      <c r="C535">
        <v>1</v>
      </c>
      <c r="D535">
        <v>0</v>
      </c>
      <c r="E535">
        <v>1</v>
      </c>
      <c r="F535">
        <v>9</v>
      </c>
      <c r="G535" t="b">
        <v>0</v>
      </c>
      <c r="H535">
        <v>1</v>
      </c>
      <c r="I535">
        <v>1</v>
      </c>
      <c r="J535">
        <v>0.06</v>
      </c>
    </row>
    <row r="536" spans="1:10" x14ac:dyDescent="0.3">
      <c r="A536">
        <v>535</v>
      </c>
      <c r="B536" s="1">
        <v>40567</v>
      </c>
      <c r="C536">
        <v>1</v>
      </c>
      <c r="D536">
        <v>0</v>
      </c>
      <c r="E536">
        <v>1</v>
      </c>
      <c r="F536">
        <v>10</v>
      </c>
      <c r="G536" t="b">
        <v>0</v>
      </c>
      <c r="H536">
        <v>1</v>
      </c>
      <c r="I536">
        <v>1</v>
      </c>
      <c r="J536">
        <v>0.1</v>
      </c>
    </row>
    <row r="537" spans="1:10" x14ac:dyDescent="0.3">
      <c r="A537">
        <v>536</v>
      </c>
      <c r="B537" s="1">
        <v>40567</v>
      </c>
      <c r="C537">
        <v>1</v>
      </c>
      <c r="D537">
        <v>0</v>
      </c>
      <c r="E537">
        <v>1</v>
      </c>
      <c r="F537">
        <v>11</v>
      </c>
      <c r="G537" t="b">
        <v>0</v>
      </c>
      <c r="H537">
        <v>1</v>
      </c>
      <c r="I537">
        <v>1</v>
      </c>
      <c r="J537">
        <v>0.1</v>
      </c>
    </row>
    <row r="538" spans="1:10" x14ac:dyDescent="0.3">
      <c r="A538">
        <v>537</v>
      </c>
      <c r="B538" s="1">
        <v>40567</v>
      </c>
      <c r="C538">
        <v>1</v>
      </c>
      <c r="D538">
        <v>0</v>
      </c>
      <c r="E538">
        <v>1</v>
      </c>
      <c r="F538">
        <v>12</v>
      </c>
      <c r="G538" t="b">
        <v>0</v>
      </c>
      <c r="H538">
        <v>1</v>
      </c>
      <c r="I538">
        <v>2</v>
      </c>
      <c r="J538">
        <v>0.12</v>
      </c>
    </row>
    <row r="539" spans="1:10" x14ac:dyDescent="0.3">
      <c r="A539">
        <v>538</v>
      </c>
      <c r="B539" s="1">
        <v>40567</v>
      </c>
      <c r="C539">
        <v>1</v>
      </c>
      <c r="D539">
        <v>0</v>
      </c>
      <c r="E539">
        <v>1</v>
      </c>
      <c r="F539">
        <v>13</v>
      </c>
      <c r="G539" t="b">
        <v>0</v>
      </c>
      <c r="H539">
        <v>1</v>
      </c>
      <c r="I539">
        <v>2</v>
      </c>
      <c r="J539">
        <v>0.14000000000000001</v>
      </c>
    </row>
    <row r="540" spans="1:10" x14ac:dyDescent="0.3">
      <c r="A540">
        <v>539</v>
      </c>
      <c r="B540" s="1">
        <v>40567</v>
      </c>
      <c r="C540">
        <v>1</v>
      </c>
      <c r="D540">
        <v>0</v>
      </c>
      <c r="E540">
        <v>1</v>
      </c>
      <c r="F540">
        <v>14</v>
      </c>
      <c r="G540" t="b">
        <v>0</v>
      </c>
      <c r="H540">
        <v>1</v>
      </c>
      <c r="I540">
        <v>2</v>
      </c>
      <c r="J540">
        <v>0.14000000000000001</v>
      </c>
    </row>
    <row r="541" spans="1:10" x14ac:dyDescent="0.3">
      <c r="A541">
        <v>540</v>
      </c>
      <c r="B541" s="1">
        <v>40567</v>
      </c>
      <c r="C541">
        <v>1</v>
      </c>
      <c r="D541">
        <v>0</v>
      </c>
      <c r="E541">
        <v>1</v>
      </c>
      <c r="F541">
        <v>15</v>
      </c>
      <c r="G541" t="b">
        <v>0</v>
      </c>
      <c r="H541">
        <v>1</v>
      </c>
      <c r="I541">
        <v>1</v>
      </c>
      <c r="J541">
        <v>0.16</v>
      </c>
    </row>
    <row r="542" spans="1:10" x14ac:dyDescent="0.3">
      <c r="A542">
        <v>541</v>
      </c>
      <c r="B542" s="1">
        <v>40567</v>
      </c>
      <c r="C542">
        <v>1</v>
      </c>
      <c r="D542">
        <v>0</v>
      </c>
      <c r="E542">
        <v>1</v>
      </c>
      <c r="F542">
        <v>16</v>
      </c>
      <c r="G542" t="b">
        <v>0</v>
      </c>
      <c r="H542">
        <v>1</v>
      </c>
      <c r="I542">
        <v>1</v>
      </c>
      <c r="J542">
        <v>0.16</v>
      </c>
    </row>
    <row r="543" spans="1:10" x14ac:dyDescent="0.3">
      <c r="A543">
        <v>542</v>
      </c>
      <c r="B543" s="1">
        <v>40567</v>
      </c>
      <c r="C543">
        <v>1</v>
      </c>
      <c r="D543">
        <v>0</v>
      </c>
      <c r="E543">
        <v>1</v>
      </c>
      <c r="F543">
        <v>17</v>
      </c>
      <c r="G543" t="b">
        <v>0</v>
      </c>
      <c r="H543">
        <v>1</v>
      </c>
      <c r="I543">
        <v>1</v>
      </c>
      <c r="J543">
        <v>0.14000000000000001</v>
      </c>
    </row>
    <row r="544" spans="1:10" x14ac:dyDescent="0.3">
      <c r="A544">
        <v>543</v>
      </c>
      <c r="B544" s="1">
        <v>40567</v>
      </c>
      <c r="C544">
        <v>1</v>
      </c>
      <c r="D544">
        <v>0</v>
      </c>
      <c r="E544">
        <v>1</v>
      </c>
      <c r="F544">
        <v>18</v>
      </c>
      <c r="G544" t="b">
        <v>0</v>
      </c>
      <c r="H544">
        <v>1</v>
      </c>
      <c r="I544">
        <v>1</v>
      </c>
      <c r="J544">
        <v>0.14000000000000001</v>
      </c>
    </row>
    <row r="545" spans="1:10" x14ac:dyDescent="0.3">
      <c r="A545">
        <v>544</v>
      </c>
      <c r="B545" s="1">
        <v>40567</v>
      </c>
      <c r="C545">
        <v>1</v>
      </c>
      <c r="D545">
        <v>0</v>
      </c>
      <c r="E545">
        <v>1</v>
      </c>
      <c r="F545">
        <v>19</v>
      </c>
      <c r="G545" t="b">
        <v>0</v>
      </c>
      <c r="H545">
        <v>1</v>
      </c>
      <c r="I545">
        <v>1</v>
      </c>
      <c r="J545">
        <v>0.14000000000000001</v>
      </c>
    </row>
    <row r="546" spans="1:10" x14ac:dyDescent="0.3">
      <c r="A546">
        <v>545</v>
      </c>
      <c r="B546" s="1">
        <v>40567</v>
      </c>
      <c r="C546">
        <v>1</v>
      </c>
      <c r="D546">
        <v>0</v>
      </c>
      <c r="E546">
        <v>1</v>
      </c>
      <c r="F546">
        <v>20</v>
      </c>
      <c r="G546" t="b">
        <v>0</v>
      </c>
      <c r="H546">
        <v>1</v>
      </c>
      <c r="I546">
        <v>1</v>
      </c>
      <c r="J546">
        <v>0.14000000000000001</v>
      </c>
    </row>
    <row r="547" spans="1:10" x14ac:dyDescent="0.3">
      <c r="A547">
        <v>546</v>
      </c>
      <c r="B547" s="1">
        <v>40567</v>
      </c>
      <c r="C547">
        <v>1</v>
      </c>
      <c r="D547">
        <v>0</v>
      </c>
      <c r="E547">
        <v>1</v>
      </c>
      <c r="F547">
        <v>21</v>
      </c>
      <c r="G547" t="b">
        <v>0</v>
      </c>
      <c r="H547">
        <v>1</v>
      </c>
      <c r="I547">
        <v>1</v>
      </c>
      <c r="J547">
        <v>0.14000000000000001</v>
      </c>
    </row>
    <row r="548" spans="1:10" x14ac:dyDescent="0.3">
      <c r="A548">
        <v>547</v>
      </c>
      <c r="B548" s="1">
        <v>40567</v>
      </c>
      <c r="C548">
        <v>1</v>
      </c>
      <c r="D548">
        <v>0</v>
      </c>
      <c r="E548">
        <v>1</v>
      </c>
      <c r="F548">
        <v>22</v>
      </c>
      <c r="G548" t="b">
        <v>0</v>
      </c>
      <c r="H548">
        <v>1</v>
      </c>
      <c r="I548">
        <v>2</v>
      </c>
      <c r="J548">
        <v>0.14000000000000001</v>
      </c>
    </row>
    <row r="549" spans="1:10" x14ac:dyDescent="0.3">
      <c r="A549">
        <v>548</v>
      </c>
      <c r="B549" s="1">
        <v>40567</v>
      </c>
      <c r="C549">
        <v>1</v>
      </c>
      <c r="D549">
        <v>0</v>
      </c>
      <c r="E549">
        <v>1</v>
      </c>
      <c r="F549">
        <v>23</v>
      </c>
      <c r="G549" t="b">
        <v>0</v>
      </c>
      <c r="H549">
        <v>1</v>
      </c>
      <c r="I549">
        <v>2</v>
      </c>
      <c r="J549">
        <v>0.16</v>
      </c>
    </row>
    <row r="550" spans="1:10" x14ac:dyDescent="0.3">
      <c r="A550">
        <v>549</v>
      </c>
      <c r="B550" s="1">
        <v>40568</v>
      </c>
      <c r="C550">
        <v>1</v>
      </c>
      <c r="D550">
        <v>0</v>
      </c>
      <c r="E550">
        <v>1</v>
      </c>
      <c r="F550">
        <v>0</v>
      </c>
      <c r="G550" t="b">
        <v>0</v>
      </c>
      <c r="H550">
        <v>2</v>
      </c>
      <c r="I550">
        <v>2</v>
      </c>
      <c r="J550">
        <v>0.16</v>
      </c>
    </row>
    <row r="551" spans="1:10" x14ac:dyDescent="0.3">
      <c r="A551">
        <v>550</v>
      </c>
      <c r="B551" s="1">
        <v>40568</v>
      </c>
      <c r="C551">
        <v>1</v>
      </c>
      <c r="D551">
        <v>0</v>
      </c>
      <c r="E551">
        <v>1</v>
      </c>
      <c r="F551">
        <v>1</v>
      </c>
      <c r="G551" t="b">
        <v>0</v>
      </c>
      <c r="H551">
        <v>2</v>
      </c>
      <c r="I551">
        <v>2</v>
      </c>
      <c r="J551">
        <v>0.16</v>
      </c>
    </row>
    <row r="552" spans="1:10" x14ac:dyDescent="0.3">
      <c r="A552">
        <v>551</v>
      </c>
      <c r="B552" s="1">
        <v>40568</v>
      </c>
      <c r="C552">
        <v>1</v>
      </c>
      <c r="D552">
        <v>0</v>
      </c>
      <c r="E552">
        <v>1</v>
      </c>
      <c r="F552">
        <v>2</v>
      </c>
      <c r="G552" t="b">
        <v>0</v>
      </c>
      <c r="H552">
        <v>2</v>
      </c>
      <c r="I552">
        <v>1</v>
      </c>
      <c r="J552">
        <v>0.16</v>
      </c>
    </row>
    <row r="553" spans="1:10" x14ac:dyDescent="0.3">
      <c r="A553">
        <v>552</v>
      </c>
      <c r="B553" s="1">
        <v>40568</v>
      </c>
      <c r="C553">
        <v>1</v>
      </c>
      <c r="D553">
        <v>0</v>
      </c>
      <c r="E553">
        <v>1</v>
      </c>
      <c r="F553">
        <v>4</v>
      </c>
      <c r="G553" t="b">
        <v>0</v>
      </c>
      <c r="H553">
        <v>2</v>
      </c>
      <c r="I553">
        <v>1</v>
      </c>
      <c r="J553">
        <v>0.14000000000000001</v>
      </c>
    </row>
    <row r="554" spans="1:10" x14ac:dyDescent="0.3">
      <c r="A554">
        <v>553</v>
      </c>
      <c r="B554" s="1">
        <v>40568</v>
      </c>
      <c r="C554">
        <v>1</v>
      </c>
      <c r="D554">
        <v>0</v>
      </c>
      <c r="E554">
        <v>1</v>
      </c>
      <c r="F554">
        <v>5</v>
      </c>
      <c r="G554" t="b">
        <v>0</v>
      </c>
      <c r="H554">
        <v>2</v>
      </c>
      <c r="I554">
        <v>1</v>
      </c>
      <c r="J554">
        <v>0.14000000000000001</v>
      </c>
    </row>
    <row r="555" spans="1:10" x14ac:dyDescent="0.3">
      <c r="A555">
        <v>554</v>
      </c>
      <c r="B555" s="1">
        <v>40568</v>
      </c>
      <c r="C555">
        <v>1</v>
      </c>
      <c r="D555">
        <v>0</v>
      </c>
      <c r="E555">
        <v>1</v>
      </c>
      <c r="F555">
        <v>6</v>
      </c>
      <c r="G555" t="b">
        <v>0</v>
      </c>
      <c r="H555">
        <v>2</v>
      </c>
      <c r="I555">
        <v>1</v>
      </c>
      <c r="J555">
        <v>0.16</v>
      </c>
    </row>
    <row r="556" spans="1:10" x14ac:dyDescent="0.3">
      <c r="A556">
        <v>555</v>
      </c>
      <c r="B556" s="1">
        <v>40568</v>
      </c>
      <c r="C556">
        <v>1</v>
      </c>
      <c r="D556">
        <v>0</v>
      </c>
      <c r="E556">
        <v>1</v>
      </c>
      <c r="F556">
        <v>7</v>
      </c>
      <c r="G556" t="b">
        <v>0</v>
      </c>
      <c r="H556">
        <v>2</v>
      </c>
      <c r="I556">
        <v>1</v>
      </c>
      <c r="J556">
        <v>0.16</v>
      </c>
    </row>
    <row r="557" spans="1:10" x14ac:dyDescent="0.3">
      <c r="A557">
        <v>556</v>
      </c>
      <c r="B557" s="1">
        <v>40568</v>
      </c>
      <c r="C557">
        <v>1</v>
      </c>
      <c r="D557">
        <v>0</v>
      </c>
      <c r="E557">
        <v>1</v>
      </c>
      <c r="F557">
        <v>8</v>
      </c>
      <c r="G557" t="b">
        <v>0</v>
      </c>
      <c r="H557">
        <v>2</v>
      </c>
      <c r="I557">
        <v>2</v>
      </c>
      <c r="J557">
        <v>0.16</v>
      </c>
    </row>
    <row r="558" spans="1:10" x14ac:dyDescent="0.3">
      <c r="A558">
        <v>557</v>
      </c>
      <c r="B558" s="1">
        <v>40568</v>
      </c>
      <c r="C558">
        <v>1</v>
      </c>
      <c r="D558">
        <v>0</v>
      </c>
      <c r="E558">
        <v>1</v>
      </c>
      <c r="F558">
        <v>9</v>
      </c>
      <c r="G558" t="b">
        <v>0</v>
      </c>
      <c r="H558">
        <v>2</v>
      </c>
      <c r="I558">
        <v>2</v>
      </c>
      <c r="J558">
        <v>0.2</v>
      </c>
    </row>
    <row r="559" spans="1:10" x14ac:dyDescent="0.3">
      <c r="A559">
        <v>558</v>
      </c>
      <c r="B559" s="1">
        <v>40568</v>
      </c>
      <c r="C559">
        <v>1</v>
      </c>
      <c r="D559">
        <v>0</v>
      </c>
      <c r="E559">
        <v>1</v>
      </c>
      <c r="F559">
        <v>10</v>
      </c>
      <c r="G559" t="b">
        <v>0</v>
      </c>
      <c r="H559">
        <v>2</v>
      </c>
      <c r="I559">
        <v>2</v>
      </c>
      <c r="J559">
        <v>0.22</v>
      </c>
    </row>
    <row r="560" spans="1:10" x14ac:dyDescent="0.3">
      <c r="A560">
        <v>559</v>
      </c>
      <c r="B560" s="1">
        <v>40568</v>
      </c>
      <c r="C560">
        <v>1</v>
      </c>
      <c r="D560">
        <v>0</v>
      </c>
      <c r="E560">
        <v>1</v>
      </c>
      <c r="F560">
        <v>11</v>
      </c>
      <c r="G560" t="b">
        <v>0</v>
      </c>
      <c r="H560">
        <v>2</v>
      </c>
      <c r="I560">
        <v>2</v>
      </c>
      <c r="J560">
        <v>0.24</v>
      </c>
    </row>
    <row r="561" spans="1:10" x14ac:dyDescent="0.3">
      <c r="A561">
        <v>560</v>
      </c>
      <c r="B561" s="1">
        <v>40568</v>
      </c>
      <c r="C561">
        <v>1</v>
      </c>
      <c r="D561">
        <v>0</v>
      </c>
      <c r="E561">
        <v>1</v>
      </c>
      <c r="F561">
        <v>12</v>
      </c>
      <c r="G561" t="b">
        <v>0</v>
      </c>
      <c r="H561">
        <v>2</v>
      </c>
      <c r="I561">
        <v>2</v>
      </c>
      <c r="J561">
        <v>0.26</v>
      </c>
    </row>
    <row r="562" spans="1:10" x14ac:dyDescent="0.3">
      <c r="A562">
        <v>561</v>
      </c>
      <c r="B562" s="1">
        <v>40568</v>
      </c>
      <c r="C562">
        <v>1</v>
      </c>
      <c r="D562">
        <v>0</v>
      </c>
      <c r="E562">
        <v>1</v>
      </c>
      <c r="F562">
        <v>13</v>
      </c>
      <c r="G562" t="b">
        <v>0</v>
      </c>
      <c r="H562">
        <v>2</v>
      </c>
      <c r="I562">
        <v>2</v>
      </c>
      <c r="J562">
        <v>0.26</v>
      </c>
    </row>
    <row r="563" spans="1:10" x14ac:dyDescent="0.3">
      <c r="A563">
        <v>562</v>
      </c>
      <c r="B563" s="1">
        <v>40568</v>
      </c>
      <c r="C563">
        <v>1</v>
      </c>
      <c r="D563">
        <v>0</v>
      </c>
      <c r="E563">
        <v>1</v>
      </c>
      <c r="F563">
        <v>14</v>
      </c>
      <c r="G563" t="b">
        <v>0</v>
      </c>
      <c r="H563">
        <v>2</v>
      </c>
      <c r="I563">
        <v>2</v>
      </c>
      <c r="J563">
        <v>0.3</v>
      </c>
    </row>
    <row r="564" spans="1:10" x14ac:dyDescent="0.3">
      <c r="A564">
        <v>563</v>
      </c>
      <c r="B564" s="1">
        <v>40568</v>
      </c>
      <c r="C564">
        <v>1</v>
      </c>
      <c r="D564">
        <v>0</v>
      </c>
      <c r="E564">
        <v>1</v>
      </c>
      <c r="F564">
        <v>15</v>
      </c>
      <c r="G564" t="b">
        <v>0</v>
      </c>
      <c r="H564">
        <v>2</v>
      </c>
      <c r="I564">
        <v>2</v>
      </c>
      <c r="J564">
        <v>0.32</v>
      </c>
    </row>
    <row r="565" spans="1:10" x14ac:dyDescent="0.3">
      <c r="A565">
        <v>564</v>
      </c>
      <c r="B565" s="1">
        <v>40568</v>
      </c>
      <c r="C565">
        <v>1</v>
      </c>
      <c r="D565">
        <v>0</v>
      </c>
      <c r="E565">
        <v>1</v>
      </c>
      <c r="F565">
        <v>16</v>
      </c>
      <c r="G565" t="b">
        <v>0</v>
      </c>
      <c r="H565">
        <v>2</v>
      </c>
      <c r="I565">
        <v>2</v>
      </c>
      <c r="J565">
        <v>0.32</v>
      </c>
    </row>
    <row r="566" spans="1:10" x14ac:dyDescent="0.3">
      <c r="A566">
        <v>565</v>
      </c>
      <c r="B566" s="1">
        <v>40568</v>
      </c>
      <c r="C566">
        <v>1</v>
      </c>
      <c r="D566">
        <v>0</v>
      </c>
      <c r="E566">
        <v>1</v>
      </c>
      <c r="F566">
        <v>17</v>
      </c>
      <c r="G566" t="b">
        <v>0</v>
      </c>
      <c r="H566">
        <v>2</v>
      </c>
      <c r="I566">
        <v>1</v>
      </c>
      <c r="J566">
        <v>0.3</v>
      </c>
    </row>
    <row r="567" spans="1:10" x14ac:dyDescent="0.3">
      <c r="A567">
        <v>566</v>
      </c>
      <c r="B567" s="1">
        <v>40568</v>
      </c>
      <c r="C567">
        <v>1</v>
      </c>
      <c r="D567">
        <v>0</v>
      </c>
      <c r="E567">
        <v>1</v>
      </c>
      <c r="F567">
        <v>18</v>
      </c>
      <c r="G567" t="b">
        <v>0</v>
      </c>
      <c r="H567">
        <v>2</v>
      </c>
      <c r="I567">
        <v>2</v>
      </c>
      <c r="J567">
        <v>0.3</v>
      </c>
    </row>
    <row r="568" spans="1:10" x14ac:dyDescent="0.3">
      <c r="A568">
        <v>567</v>
      </c>
      <c r="B568" s="1">
        <v>40568</v>
      </c>
      <c r="C568">
        <v>1</v>
      </c>
      <c r="D568">
        <v>0</v>
      </c>
      <c r="E568">
        <v>1</v>
      </c>
      <c r="F568">
        <v>19</v>
      </c>
      <c r="G568" t="b">
        <v>0</v>
      </c>
      <c r="H568">
        <v>2</v>
      </c>
      <c r="I568">
        <v>2</v>
      </c>
      <c r="J568">
        <v>0.26</v>
      </c>
    </row>
    <row r="569" spans="1:10" x14ac:dyDescent="0.3">
      <c r="A569">
        <v>568</v>
      </c>
      <c r="B569" s="1">
        <v>40568</v>
      </c>
      <c r="C569">
        <v>1</v>
      </c>
      <c r="D569">
        <v>0</v>
      </c>
      <c r="E569">
        <v>1</v>
      </c>
      <c r="F569">
        <v>20</v>
      </c>
      <c r="G569" t="b">
        <v>0</v>
      </c>
      <c r="H569">
        <v>2</v>
      </c>
      <c r="I569">
        <v>1</v>
      </c>
      <c r="J569">
        <v>0.24</v>
      </c>
    </row>
    <row r="570" spans="1:10" x14ac:dyDescent="0.3">
      <c r="A570">
        <v>569</v>
      </c>
      <c r="B570" s="1">
        <v>40568</v>
      </c>
      <c r="C570">
        <v>1</v>
      </c>
      <c r="D570">
        <v>0</v>
      </c>
      <c r="E570">
        <v>1</v>
      </c>
      <c r="F570">
        <v>21</v>
      </c>
      <c r="G570" t="b">
        <v>0</v>
      </c>
      <c r="H570">
        <v>2</v>
      </c>
      <c r="I570">
        <v>1</v>
      </c>
      <c r="J570">
        <v>0.24</v>
      </c>
    </row>
    <row r="571" spans="1:10" x14ac:dyDescent="0.3">
      <c r="A571">
        <v>570</v>
      </c>
      <c r="B571" s="1">
        <v>40568</v>
      </c>
      <c r="C571">
        <v>1</v>
      </c>
      <c r="D571">
        <v>0</v>
      </c>
      <c r="E571">
        <v>1</v>
      </c>
      <c r="F571">
        <v>22</v>
      </c>
      <c r="G571" t="b">
        <v>0</v>
      </c>
      <c r="H571">
        <v>2</v>
      </c>
      <c r="I571">
        <v>1</v>
      </c>
      <c r="J571">
        <v>0.22</v>
      </c>
    </row>
    <row r="572" spans="1:10" x14ac:dyDescent="0.3">
      <c r="A572">
        <v>571</v>
      </c>
      <c r="B572" s="1">
        <v>40568</v>
      </c>
      <c r="C572">
        <v>1</v>
      </c>
      <c r="D572">
        <v>0</v>
      </c>
      <c r="E572">
        <v>1</v>
      </c>
      <c r="F572">
        <v>23</v>
      </c>
      <c r="G572" t="b">
        <v>0</v>
      </c>
      <c r="H572">
        <v>2</v>
      </c>
      <c r="I572">
        <v>2</v>
      </c>
      <c r="J572">
        <v>0.22</v>
      </c>
    </row>
    <row r="573" spans="1:10" x14ac:dyDescent="0.3">
      <c r="A573">
        <v>572</v>
      </c>
      <c r="B573" s="1">
        <v>40569</v>
      </c>
      <c r="C573">
        <v>1</v>
      </c>
      <c r="D573">
        <v>0</v>
      </c>
      <c r="E573">
        <v>1</v>
      </c>
      <c r="F573">
        <v>0</v>
      </c>
      <c r="G573" t="b">
        <v>0</v>
      </c>
      <c r="H573">
        <v>3</v>
      </c>
      <c r="I573">
        <v>2</v>
      </c>
      <c r="J573">
        <v>0.22</v>
      </c>
    </row>
    <row r="574" spans="1:10" x14ac:dyDescent="0.3">
      <c r="A574">
        <v>573</v>
      </c>
      <c r="B574" s="1">
        <v>40569</v>
      </c>
      <c r="C574">
        <v>1</v>
      </c>
      <c r="D574">
        <v>0</v>
      </c>
      <c r="E574">
        <v>1</v>
      </c>
      <c r="F574">
        <v>1</v>
      </c>
      <c r="G574" t="b">
        <v>0</v>
      </c>
      <c r="H574">
        <v>3</v>
      </c>
      <c r="I574">
        <v>2</v>
      </c>
      <c r="J574">
        <v>0.24</v>
      </c>
    </row>
    <row r="575" spans="1:10" x14ac:dyDescent="0.3">
      <c r="A575">
        <v>574</v>
      </c>
      <c r="B575" s="1">
        <v>40569</v>
      </c>
      <c r="C575">
        <v>1</v>
      </c>
      <c r="D575">
        <v>0</v>
      </c>
      <c r="E575">
        <v>1</v>
      </c>
      <c r="F575">
        <v>2</v>
      </c>
      <c r="G575" t="b">
        <v>0</v>
      </c>
      <c r="H575">
        <v>3</v>
      </c>
      <c r="I575">
        <v>3</v>
      </c>
      <c r="J575">
        <v>0.22</v>
      </c>
    </row>
    <row r="576" spans="1:10" x14ac:dyDescent="0.3">
      <c r="A576">
        <v>575</v>
      </c>
      <c r="B576" s="1">
        <v>40569</v>
      </c>
      <c r="C576">
        <v>1</v>
      </c>
      <c r="D576">
        <v>0</v>
      </c>
      <c r="E576">
        <v>1</v>
      </c>
      <c r="F576">
        <v>5</v>
      </c>
      <c r="G576" t="b">
        <v>0</v>
      </c>
      <c r="H576">
        <v>3</v>
      </c>
      <c r="I576">
        <v>3</v>
      </c>
      <c r="J576">
        <v>0.2</v>
      </c>
    </row>
    <row r="577" spans="1:10" x14ac:dyDescent="0.3">
      <c r="A577">
        <v>576</v>
      </c>
      <c r="B577" s="1">
        <v>40569</v>
      </c>
      <c r="C577">
        <v>1</v>
      </c>
      <c r="D577">
        <v>0</v>
      </c>
      <c r="E577">
        <v>1</v>
      </c>
      <c r="F577">
        <v>6</v>
      </c>
      <c r="G577" t="b">
        <v>0</v>
      </c>
      <c r="H577">
        <v>3</v>
      </c>
      <c r="I577">
        <v>3</v>
      </c>
      <c r="J577">
        <v>0.2</v>
      </c>
    </row>
    <row r="578" spans="1:10" x14ac:dyDescent="0.3">
      <c r="A578">
        <v>577</v>
      </c>
      <c r="B578" s="1">
        <v>40569</v>
      </c>
      <c r="C578">
        <v>1</v>
      </c>
      <c r="D578">
        <v>0</v>
      </c>
      <c r="E578">
        <v>1</v>
      </c>
      <c r="F578">
        <v>7</v>
      </c>
      <c r="G578" t="b">
        <v>0</v>
      </c>
      <c r="H578">
        <v>3</v>
      </c>
      <c r="I578">
        <v>3</v>
      </c>
      <c r="J578">
        <v>0.22</v>
      </c>
    </row>
    <row r="579" spans="1:10" x14ac:dyDescent="0.3">
      <c r="A579">
        <v>578</v>
      </c>
      <c r="B579" s="1">
        <v>40569</v>
      </c>
      <c r="C579">
        <v>1</v>
      </c>
      <c r="D579">
        <v>0</v>
      </c>
      <c r="E579">
        <v>1</v>
      </c>
      <c r="F579">
        <v>8</v>
      </c>
      <c r="G579" t="b">
        <v>0</v>
      </c>
      <c r="H579">
        <v>3</v>
      </c>
      <c r="I579">
        <v>3</v>
      </c>
      <c r="J579">
        <v>0.22</v>
      </c>
    </row>
    <row r="580" spans="1:10" x14ac:dyDescent="0.3">
      <c r="A580">
        <v>579</v>
      </c>
      <c r="B580" s="1">
        <v>40569</v>
      </c>
      <c r="C580">
        <v>1</v>
      </c>
      <c r="D580">
        <v>0</v>
      </c>
      <c r="E580">
        <v>1</v>
      </c>
      <c r="F580">
        <v>9</v>
      </c>
      <c r="G580" t="b">
        <v>0</v>
      </c>
      <c r="H580">
        <v>3</v>
      </c>
      <c r="I580">
        <v>3</v>
      </c>
      <c r="J580">
        <v>0.22</v>
      </c>
    </row>
    <row r="581" spans="1:10" x14ac:dyDescent="0.3">
      <c r="A581">
        <v>580</v>
      </c>
      <c r="B581" s="1">
        <v>40569</v>
      </c>
      <c r="C581">
        <v>1</v>
      </c>
      <c r="D581">
        <v>0</v>
      </c>
      <c r="E581">
        <v>1</v>
      </c>
      <c r="F581">
        <v>10</v>
      </c>
      <c r="G581" t="b">
        <v>0</v>
      </c>
      <c r="H581">
        <v>3</v>
      </c>
      <c r="I581">
        <v>3</v>
      </c>
      <c r="J581">
        <v>0.22</v>
      </c>
    </row>
    <row r="582" spans="1:10" x14ac:dyDescent="0.3">
      <c r="A582">
        <v>581</v>
      </c>
      <c r="B582" s="1">
        <v>40569</v>
      </c>
      <c r="C582">
        <v>1</v>
      </c>
      <c r="D582">
        <v>0</v>
      </c>
      <c r="E582">
        <v>1</v>
      </c>
      <c r="F582">
        <v>11</v>
      </c>
      <c r="G582" t="b">
        <v>0</v>
      </c>
      <c r="H582">
        <v>3</v>
      </c>
      <c r="I582">
        <v>3</v>
      </c>
      <c r="J582">
        <v>0.22</v>
      </c>
    </row>
    <row r="583" spans="1:10" x14ac:dyDescent="0.3">
      <c r="A583">
        <v>582</v>
      </c>
      <c r="B583" s="1">
        <v>40569</v>
      </c>
      <c r="C583">
        <v>1</v>
      </c>
      <c r="D583">
        <v>0</v>
      </c>
      <c r="E583">
        <v>1</v>
      </c>
      <c r="F583">
        <v>12</v>
      </c>
      <c r="G583" t="b">
        <v>0</v>
      </c>
      <c r="H583">
        <v>3</v>
      </c>
      <c r="I583">
        <v>3</v>
      </c>
      <c r="J583">
        <v>0.22</v>
      </c>
    </row>
    <row r="584" spans="1:10" x14ac:dyDescent="0.3">
      <c r="A584">
        <v>583</v>
      </c>
      <c r="B584" s="1">
        <v>40569</v>
      </c>
      <c r="C584">
        <v>1</v>
      </c>
      <c r="D584">
        <v>0</v>
      </c>
      <c r="E584">
        <v>1</v>
      </c>
      <c r="F584">
        <v>13</v>
      </c>
      <c r="G584" t="b">
        <v>0</v>
      </c>
      <c r="H584">
        <v>3</v>
      </c>
      <c r="I584">
        <v>3</v>
      </c>
      <c r="J584">
        <v>0.22</v>
      </c>
    </row>
    <row r="585" spans="1:10" x14ac:dyDescent="0.3">
      <c r="A585">
        <v>584</v>
      </c>
      <c r="B585" s="1">
        <v>40569</v>
      </c>
      <c r="C585">
        <v>1</v>
      </c>
      <c r="D585">
        <v>0</v>
      </c>
      <c r="E585">
        <v>1</v>
      </c>
      <c r="F585">
        <v>14</v>
      </c>
      <c r="G585" t="b">
        <v>0</v>
      </c>
      <c r="H585">
        <v>3</v>
      </c>
      <c r="I585">
        <v>3</v>
      </c>
      <c r="J585">
        <v>0.22</v>
      </c>
    </row>
    <row r="586" spans="1:10" x14ac:dyDescent="0.3">
      <c r="A586">
        <v>585</v>
      </c>
      <c r="B586" s="1">
        <v>40569</v>
      </c>
      <c r="C586">
        <v>1</v>
      </c>
      <c r="D586">
        <v>0</v>
      </c>
      <c r="E586">
        <v>1</v>
      </c>
      <c r="F586">
        <v>15</v>
      </c>
      <c r="G586" t="b">
        <v>0</v>
      </c>
      <c r="H586">
        <v>3</v>
      </c>
      <c r="I586">
        <v>3</v>
      </c>
      <c r="J586">
        <v>0.22</v>
      </c>
    </row>
    <row r="587" spans="1:10" x14ac:dyDescent="0.3">
      <c r="A587">
        <v>586</v>
      </c>
      <c r="B587" s="1">
        <v>40569</v>
      </c>
      <c r="C587">
        <v>1</v>
      </c>
      <c r="D587">
        <v>0</v>
      </c>
      <c r="E587">
        <v>1</v>
      </c>
      <c r="F587">
        <v>16</v>
      </c>
      <c r="G587" t="b">
        <v>0</v>
      </c>
      <c r="H587">
        <v>3</v>
      </c>
      <c r="I587">
        <v>4</v>
      </c>
      <c r="J587">
        <v>0.22</v>
      </c>
    </row>
    <row r="588" spans="1:10" x14ac:dyDescent="0.3">
      <c r="A588">
        <v>587</v>
      </c>
      <c r="B588" s="1">
        <v>40569</v>
      </c>
      <c r="C588">
        <v>1</v>
      </c>
      <c r="D588">
        <v>0</v>
      </c>
      <c r="E588">
        <v>1</v>
      </c>
      <c r="F588">
        <v>17</v>
      </c>
      <c r="G588" t="b">
        <v>0</v>
      </c>
      <c r="H588">
        <v>3</v>
      </c>
      <c r="I588">
        <v>3</v>
      </c>
      <c r="J588">
        <v>0.2</v>
      </c>
    </row>
    <row r="589" spans="1:10" x14ac:dyDescent="0.3">
      <c r="A589">
        <v>588</v>
      </c>
      <c r="B589" s="1">
        <v>40570</v>
      </c>
      <c r="C589">
        <v>1</v>
      </c>
      <c r="D589">
        <v>0</v>
      </c>
      <c r="E589">
        <v>1</v>
      </c>
      <c r="F589">
        <v>16</v>
      </c>
      <c r="G589" t="b">
        <v>0</v>
      </c>
      <c r="H589">
        <v>4</v>
      </c>
      <c r="I589">
        <v>1</v>
      </c>
      <c r="J589">
        <v>0.22</v>
      </c>
    </row>
    <row r="590" spans="1:10" x14ac:dyDescent="0.3">
      <c r="A590">
        <v>589</v>
      </c>
      <c r="B590" s="1">
        <v>40570</v>
      </c>
      <c r="C590">
        <v>1</v>
      </c>
      <c r="D590">
        <v>0</v>
      </c>
      <c r="E590">
        <v>1</v>
      </c>
      <c r="F590">
        <v>17</v>
      </c>
      <c r="G590" t="b">
        <v>0</v>
      </c>
      <c r="H590">
        <v>4</v>
      </c>
      <c r="I590">
        <v>1</v>
      </c>
      <c r="J590">
        <v>0.22</v>
      </c>
    </row>
    <row r="591" spans="1:10" x14ac:dyDescent="0.3">
      <c r="A591">
        <v>590</v>
      </c>
      <c r="B591" s="1">
        <v>40570</v>
      </c>
      <c r="C591">
        <v>1</v>
      </c>
      <c r="D591">
        <v>0</v>
      </c>
      <c r="E591">
        <v>1</v>
      </c>
      <c r="F591">
        <v>18</v>
      </c>
      <c r="G591" t="b">
        <v>0</v>
      </c>
      <c r="H591">
        <v>4</v>
      </c>
      <c r="I591">
        <v>1</v>
      </c>
      <c r="J591">
        <v>0.2</v>
      </c>
    </row>
    <row r="592" spans="1:10" x14ac:dyDescent="0.3">
      <c r="A592">
        <v>591</v>
      </c>
      <c r="B592" s="1">
        <v>40570</v>
      </c>
      <c r="C592">
        <v>1</v>
      </c>
      <c r="D592">
        <v>0</v>
      </c>
      <c r="E592">
        <v>1</v>
      </c>
      <c r="F592">
        <v>19</v>
      </c>
      <c r="G592" t="b">
        <v>0</v>
      </c>
      <c r="H592">
        <v>4</v>
      </c>
      <c r="I592">
        <v>1</v>
      </c>
      <c r="J592">
        <v>0.2</v>
      </c>
    </row>
    <row r="593" spans="1:10" x14ac:dyDescent="0.3">
      <c r="A593">
        <v>592</v>
      </c>
      <c r="B593" s="1">
        <v>40570</v>
      </c>
      <c r="C593">
        <v>1</v>
      </c>
      <c r="D593">
        <v>0</v>
      </c>
      <c r="E593">
        <v>1</v>
      </c>
      <c r="F593">
        <v>20</v>
      </c>
      <c r="G593" t="b">
        <v>0</v>
      </c>
      <c r="H593">
        <v>4</v>
      </c>
      <c r="I593">
        <v>1</v>
      </c>
      <c r="J593">
        <v>0.18</v>
      </c>
    </row>
    <row r="594" spans="1:10" x14ac:dyDescent="0.3">
      <c r="A594">
        <v>593</v>
      </c>
      <c r="B594" s="1">
        <v>40570</v>
      </c>
      <c r="C594">
        <v>1</v>
      </c>
      <c r="D594">
        <v>0</v>
      </c>
      <c r="E594">
        <v>1</v>
      </c>
      <c r="F594">
        <v>21</v>
      </c>
      <c r="G594" t="b">
        <v>0</v>
      </c>
      <c r="H594">
        <v>4</v>
      </c>
      <c r="I594">
        <v>1</v>
      </c>
      <c r="J594">
        <v>0.18</v>
      </c>
    </row>
    <row r="595" spans="1:10" x14ac:dyDescent="0.3">
      <c r="A595">
        <v>594</v>
      </c>
      <c r="B595" s="1">
        <v>40570</v>
      </c>
      <c r="C595">
        <v>1</v>
      </c>
      <c r="D595">
        <v>0</v>
      </c>
      <c r="E595">
        <v>1</v>
      </c>
      <c r="F595">
        <v>22</v>
      </c>
      <c r="G595" t="b">
        <v>0</v>
      </c>
      <c r="H595">
        <v>4</v>
      </c>
      <c r="I595">
        <v>1</v>
      </c>
      <c r="J595">
        <v>0.18</v>
      </c>
    </row>
    <row r="596" spans="1:10" x14ac:dyDescent="0.3">
      <c r="A596">
        <v>595</v>
      </c>
      <c r="B596" s="1">
        <v>40570</v>
      </c>
      <c r="C596">
        <v>1</v>
      </c>
      <c r="D596">
        <v>0</v>
      </c>
      <c r="E596">
        <v>1</v>
      </c>
      <c r="F596">
        <v>23</v>
      </c>
      <c r="G596" t="b">
        <v>0</v>
      </c>
      <c r="H596">
        <v>4</v>
      </c>
      <c r="I596">
        <v>1</v>
      </c>
      <c r="J596">
        <v>0.18</v>
      </c>
    </row>
    <row r="597" spans="1:10" x14ac:dyDescent="0.3">
      <c r="A597">
        <v>596</v>
      </c>
      <c r="B597" s="1">
        <v>40571</v>
      </c>
      <c r="C597">
        <v>1</v>
      </c>
      <c r="D597">
        <v>0</v>
      </c>
      <c r="E597">
        <v>1</v>
      </c>
      <c r="F597">
        <v>0</v>
      </c>
      <c r="G597" t="b">
        <v>0</v>
      </c>
      <c r="H597">
        <v>5</v>
      </c>
      <c r="I597">
        <v>2</v>
      </c>
      <c r="J597">
        <v>0.2</v>
      </c>
    </row>
    <row r="598" spans="1:10" x14ac:dyDescent="0.3">
      <c r="A598">
        <v>597</v>
      </c>
      <c r="B598" s="1">
        <v>40571</v>
      </c>
      <c r="C598">
        <v>1</v>
      </c>
      <c r="D598">
        <v>0</v>
      </c>
      <c r="E598">
        <v>1</v>
      </c>
      <c r="F598">
        <v>1</v>
      </c>
      <c r="G598" t="b">
        <v>0</v>
      </c>
      <c r="H598">
        <v>5</v>
      </c>
      <c r="I598">
        <v>2</v>
      </c>
      <c r="J598">
        <v>0.2</v>
      </c>
    </row>
    <row r="599" spans="1:10" x14ac:dyDescent="0.3">
      <c r="A599">
        <v>598</v>
      </c>
      <c r="B599" s="1">
        <v>40571</v>
      </c>
      <c r="C599">
        <v>1</v>
      </c>
      <c r="D599">
        <v>0</v>
      </c>
      <c r="E599">
        <v>1</v>
      </c>
      <c r="F599">
        <v>2</v>
      </c>
      <c r="G599" t="b">
        <v>0</v>
      </c>
      <c r="H599">
        <v>5</v>
      </c>
      <c r="I599">
        <v>2</v>
      </c>
      <c r="J599">
        <v>0.2</v>
      </c>
    </row>
    <row r="600" spans="1:10" x14ac:dyDescent="0.3">
      <c r="A600">
        <v>599</v>
      </c>
      <c r="B600" s="1">
        <v>40571</v>
      </c>
      <c r="C600">
        <v>1</v>
      </c>
      <c r="D600">
        <v>0</v>
      </c>
      <c r="E600">
        <v>1</v>
      </c>
      <c r="F600">
        <v>3</v>
      </c>
      <c r="G600" t="b">
        <v>0</v>
      </c>
      <c r="H600">
        <v>5</v>
      </c>
      <c r="I600">
        <v>2</v>
      </c>
      <c r="J600">
        <v>0.2</v>
      </c>
    </row>
    <row r="601" spans="1:10" x14ac:dyDescent="0.3">
      <c r="A601">
        <v>600</v>
      </c>
      <c r="B601" s="1">
        <v>40571</v>
      </c>
      <c r="C601">
        <v>1</v>
      </c>
      <c r="D601">
        <v>0</v>
      </c>
      <c r="E601">
        <v>1</v>
      </c>
      <c r="F601">
        <v>5</v>
      </c>
      <c r="G601" t="b">
        <v>0</v>
      </c>
      <c r="H601">
        <v>5</v>
      </c>
      <c r="I601">
        <v>2</v>
      </c>
      <c r="J601">
        <v>0.18</v>
      </c>
    </row>
    <row r="602" spans="1:10" x14ac:dyDescent="0.3">
      <c r="A602">
        <v>601</v>
      </c>
      <c r="B602" s="1">
        <v>40571</v>
      </c>
      <c r="C602">
        <v>1</v>
      </c>
      <c r="D602">
        <v>0</v>
      </c>
      <c r="E602">
        <v>1</v>
      </c>
      <c r="F602">
        <v>6</v>
      </c>
      <c r="G602" t="b">
        <v>0</v>
      </c>
      <c r="H602">
        <v>5</v>
      </c>
      <c r="I602">
        <v>2</v>
      </c>
      <c r="J602">
        <v>0.18</v>
      </c>
    </row>
    <row r="603" spans="1:10" x14ac:dyDescent="0.3">
      <c r="A603">
        <v>602</v>
      </c>
      <c r="B603" s="1">
        <v>40571</v>
      </c>
      <c r="C603">
        <v>1</v>
      </c>
      <c r="D603">
        <v>0</v>
      </c>
      <c r="E603">
        <v>1</v>
      </c>
      <c r="F603">
        <v>7</v>
      </c>
      <c r="G603" t="b">
        <v>0</v>
      </c>
      <c r="H603">
        <v>5</v>
      </c>
      <c r="I603">
        <v>2</v>
      </c>
      <c r="J603">
        <v>0.16</v>
      </c>
    </row>
    <row r="604" spans="1:10" x14ac:dyDescent="0.3">
      <c r="A604">
        <v>603</v>
      </c>
      <c r="B604" s="1">
        <v>40571</v>
      </c>
      <c r="C604">
        <v>1</v>
      </c>
      <c r="D604">
        <v>0</v>
      </c>
      <c r="E604">
        <v>1</v>
      </c>
      <c r="F604">
        <v>8</v>
      </c>
      <c r="G604" t="b">
        <v>0</v>
      </c>
      <c r="H604">
        <v>5</v>
      </c>
      <c r="I604">
        <v>2</v>
      </c>
      <c r="J604">
        <v>0.16</v>
      </c>
    </row>
    <row r="605" spans="1:10" x14ac:dyDescent="0.3">
      <c r="A605">
        <v>604</v>
      </c>
      <c r="B605" s="1">
        <v>40571</v>
      </c>
      <c r="C605">
        <v>1</v>
      </c>
      <c r="D605">
        <v>0</v>
      </c>
      <c r="E605">
        <v>1</v>
      </c>
      <c r="F605">
        <v>9</v>
      </c>
      <c r="G605" t="b">
        <v>0</v>
      </c>
      <c r="H605">
        <v>5</v>
      </c>
      <c r="I605">
        <v>3</v>
      </c>
      <c r="J605">
        <v>0.18</v>
      </c>
    </row>
    <row r="606" spans="1:10" x14ac:dyDescent="0.3">
      <c r="A606">
        <v>605</v>
      </c>
      <c r="B606" s="1">
        <v>40571</v>
      </c>
      <c r="C606">
        <v>1</v>
      </c>
      <c r="D606">
        <v>0</v>
      </c>
      <c r="E606">
        <v>1</v>
      </c>
      <c r="F606">
        <v>10</v>
      </c>
      <c r="G606" t="b">
        <v>0</v>
      </c>
      <c r="H606">
        <v>5</v>
      </c>
      <c r="I606">
        <v>3</v>
      </c>
      <c r="J606">
        <v>0.18</v>
      </c>
    </row>
    <row r="607" spans="1:10" x14ac:dyDescent="0.3">
      <c r="A607">
        <v>606</v>
      </c>
      <c r="B607" s="1">
        <v>40571</v>
      </c>
      <c r="C607">
        <v>1</v>
      </c>
      <c r="D607">
        <v>0</v>
      </c>
      <c r="E607">
        <v>1</v>
      </c>
      <c r="F607">
        <v>11</v>
      </c>
      <c r="G607" t="b">
        <v>0</v>
      </c>
      <c r="H607">
        <v>5</v>
      </c>
      <c r="I607">
        <v>3</v>
      </c>
      <c r="J607">
        <v>0.18</v>
      </c>
    </row>
    <row r="608" spans="1:10" x14ac:dyDescent="0.3">
      <c r="A608">
        <v>607</v>
      </c>
      <c r="B608" s="1">
        <v>40571</v>
      </c>
      <c r="C608">
        <v>1</v>
      </c>
      <c r="D608">
        <v>0</v>
      </c>
      <c r="E608">
        <v>1</v>
      </c>
      <c r="F608">
        <v>12</v>
      </c>
      <c r="G608" t="b">
        <v>0</v>
      </c>
      <c r="H608">
        <v>5</v>
      </c>
      <c r="I608">
        <v>3</v>
      </c>
      <c r="J608">
        <v>0.18</v>
      </c>
    </row>
    <row r="609" spans="1:10" x14ac:dyDescent="0.3">
      <c r="A609">
        <v>608</v>
      </c>
      <c r="B609" s="1">
        <v>40571</v>
      </c>
      <c r="C609">
        <v>1</v>
      </c>
      <c r="D609">
        <v>0</v>
      </c>
      <c r="E609">
        <v>1</v>
      </c>
      <c r="F609">
        <v>13</v>
      </c>
      <c r="G609" t="b">
        <v>0</v>
      </c>
      <c r="H609">
        <v>5</v>
      </c>
      <c r="I609">
        <v>3</v>
      </c>
      <c r="J609">
        <v>0.18</v>
      </c>
    </row>
    <row r="610" spans="1:10" x14ac:dyDescent="0.3">
      <c r="A610">
        <v>609</v>
      </c>
      <c r="B610" s="1">
        <v>40571</v>
      </c>
      <c r="C610">
        <v>1</v>
      </c>
      <c r="D610">
        <v>0</v>
      </c>
      <c r="E610">
        <v>1</v>
      </c>
      <c r="F610">
        <v>14</v>
      </c>
      <c r="G610" t="b">
        <v>0</v>
      </c>
      <c r="H610">
        <v>5</v>
      </c>
      <c r="I610">
        <v>3</v>
      </c>
      <c r="J610">
        <v>0.22</v>
      </c>
    </row>
    <row r="611" spans="1:10" x14ac:dyDescent="0.3">
      <c r="A611">
        <v>610</v>
      </c>
      <c r="B611" s="1">
        <v>40571</v>
      </c>
      <c r="C611">
        <v>1</v>
      </c>
      <c r="D611">
        <v>0</v>
      </c>
      <c r="E611">
        <v>1</v>
      </c>
      <c r="F611">
        <v>15</v>
      </c>
      <c r="G611" t="b">
        <v>0</v>
      </c>
      <c r="H611">
        <v>5</v>
      </c>
      <c r="I611">
        <v>2</v>
      </c>
      <c r="J611">
        <v>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7CFEB-8E47-4FC9-866C-FB3CE995FD6C}">
  <dimension ref="A1:G35"/>
  <sheetViews>
    <sheetView tabSelected="1" workbookViewId="0">
      <selection activeCell="H25" sqref="H25"/>
    </sheetView>
  </sheetViews>
  <sheetFormatPr defaultRowHeight="14.4" x14ac:dyDescent="0.3"/>
  <cols>
    <col min="1" max="1" width="12.5546875" bestFit="1" customWidth="1"/>
    <col min="2" max="2" width="20.44140625" bestFit="1" customWidth="1"/>
    <col min="7" max="7" width="35.6640625" customWidth="1"/>
    <col min="8" max="8" width="20" customWidth="1"/>
  </cols>
  <sheetData>
    <row r="1" spans="1:2" x14ac:dyDescent="0.3">
      <c r="A1" s="2" t="s">
        <v>27</v>
      </c>
      <c r="B1" t="s">
        <v>26</v>
      </c>
    </row>
    <row r="2" spans="1:2" x14ac:dyDescent="0.3">
      <c r="A2" s="3">
        <v>0</v>
      </c>
      <c r="B2" s="4">
        <v>168</v>
      </c>
    </row>
    <row r="3" spans="1:2" x14ac:dyDescent="0.3">
      <c r="A3" s="3">
        <v>1</v>
      </c>
      <c r="B3" s="4">
        <v>84</v>
      </c>
    </row>
    <row r="4" spans="1:2" x14ac:dyDescent="0.3">
      <c r="A4" s="3">
        <v>2</v>
      </c>
      <c r="B4" s="4">
        <v>55</v>
      </c>
    </row>
    <row r="5" spans="1:2" x14ac:dyDescent="0.3">
      <c r="A5" s="3">
        <v>3</v>
      </c>
      <c r="B5" s="4">
        <v>57</v>
      </c>
    </row>
    <row r="6" spans="1:2" x14ac:dyDescent="0.3">
      <c r="A6" s="3">
        <v>4</v>
      </c>
      <c r="B6" s="4">
        <v>38</v>
      </c>
    </row>
    <row r="7" spans="1:2" x14ac:dyDescent="0.3">
      <c r="A7" s="3">
        <v>5</v>
      </c>
      <c r="B7" s="4">
        <v>34</v>
      </c>
    </row>
    <row r="8" spans="1:2" x14ac:dyDescent="0.3">
      <c r="A8" s="3">
        <v>6</v>
      </c>
      <c r="B8" s="4">
        <v>30</v>
      </c>
    </row>
    <row r="9" spans="1:2" x14ac:dyDescent="0.3">
      <c r="A9" s="3">
        <v>7</v>
      </c>
      <c r="B9" s="4">
        <v>22</v>
      </c>
    </row>
    <row r="10" spans="1:2" x14ac:dyDescent="0.3">
      <c r="A10" s="3">
        <v>8</v>
      </c>
      <c r="B10" s="4">
        <v>18</v>
      </c>
    </row>
    <row r="11" spans="1:2" x14ac:dyDescent="0.3">
      <c r="A11" s="3">
        <v>9</v>
      </c>
      <c r="B11" s="4">
        <v>15</v>
      </c>
    </row>
    <row r="12" spans="1:2" x14ac:dyDescent="0.3">
      <c r="A12" s="3">
        <v>10</v>
      </c>
      <c r="B12" s="4">
        <v>10</v>
      </c>
    </row>
    <row r="13" spans="1:2" x14ac:dyDescent="0.3">
      <c r="A13" s="3">
        <v>11</v>
      </c>
      <c r="B13" s="4">
        <v>15</v>
      </c>
    </row>
    <row r="14" spans="1:2" x14ac:dyDescent="0.3">
      <c r="A14" s="3">
        <v>12</v>
      </c>
      <c r="B14" s="4">
        <v>10</v>
      </c>
    </row>
    <row r="15" spans="1:2" x14ac:dyDescent="0.3">
      <c r="A15" s="3">
        <v>13</v>
      </c>
      <c r="B15" s="4">
        <v>5</v>
      </c>
    </row>
    <row r="16" spans="1:2" x14ac:dyDescent="0.3">
      <c r="A16" s="3">
        <v>14</v>
      </c>
      <c r="B16" s="4">
        <v>5</v>
      </c>
    </row>
    <row r="17" spans="1:7" x14ac:dyDescent="0.3">
      <c r="A17" s="3">
        <v>15</v>
      </c>
      <c r="B17" s="4">
        <v>5</v>
      </c>
    </row>
    <row r="18" spans="1:7" x14ac:dyDescent="0.3">
      <c r="A18" s="3">
        <v>16</v>
      </c>
      <c r="B18" s="4">
        <v>3</v>
      </c>
    </row>
    <row r="19" spans="1:7" x14ac:dyDescent="0.3">
      <c r="A19" s="3">
        <v>17</v>
      </c>
      <c r="B19" s="4">
        <v>2</v>
      </c>
    </row>
    <row r="20" spans="1:7" x14ac:dyDescent="0.3">
      <c r="A20" s="3">
        <v>18</v>
      </c>
      <c r="B20" s="4">
        <v>2</v>
      </c>
    </row>
    <row r="21" spans="1:7" x14ac:dyDescent="0.3">
      <c r="A21" s="3">
        <v>19</v>
      </c>
      <c r="B21" s="4">
        <v>2</v>
      </c>
    </row>
    <row r="22" spans="1:7" x14ac:dyDescent="0.3">
      <c r="A22" s="3">
        <v>20</v>
      </c>
      <c r="B22" s="4">
        <v>2</v>
      </c>
    </row>
    <row r="23" spans="1:7" x14ac:dyDescent="0.3">
      <c r="A23" s="3">
        <v>21</v>
      </c>
      <c r="B23" s="4">
        <v>6</v>
      </c>
    </row>
    <row r="24" spans="1:7" x14ac:dyDescent="0.3">
      <c r="A24" s="3">
        <v>22</v>
      </c>
      <c r="B24" s="4">
        <v>3</v>
      </c>
    </row>
    <row r="25" spans="1:7" x14ac:dyDescent="0.3">
      <c r="A25" s="3">
        <v>23</v>
      </c>
      <c r="B25" s="4">
        <v>3</v>
      </c>
      <c r="G25" s="6" t="s">
        <v>33</v>
      </c>
    </row>
    <row r="26" spans="1:7" x14ac:dyDescent="0.3">
      <c r="A26" s="3">
        <v>24</v>
      </c>
      <c r="B26" s="4">
        <v>1</v>
      </c>
    </row>
    <row r="27" spans="1:7" x14ac:dyDescent="0.3">
      <c r="A27" s="3">
        <v>26</v>
      </c>
      <c r="B27" s="4">
        <v>2</v>
      </c>
    </row>
    <row r="28" spans="1:7" x14ac:dyDescent="0.3">
      <c r="A28" s="3">
        <v>29</v>
      </c>
      <c r="B28" s="4">
        <v>3</v>
      </c>
    </row>
    <row r="29" spans="1:7" x14ac:dyDescent="0.3">
      <c r="A29" s="3">
        <v>33</v>
      </c>
      <c r="B29" s="4">
        <v>1</v>
      </c>
    </row>
    <row r="30" spans="1:7" x14ac:dyDescent="0.3">
      <c r="A30" s="3">
        <v>35</v>
      </c>
      <c r="B30" s="4">
        <v>2</v>
      </c>
    </row>
    <row r="31" spans="1:7" x14ac:dyDescent="0.3">
      <c r="A31" s="3">
        <v>40</v>
      </c>
      <c r="B31" s="4">
        <v>1</v>
      </c>
    </row>
    <row r="32" spans="1:7" x14ac:dyDescent="0.3">
      <c r="A32" s="3">
        <v>41</v>
      </c>
      <c r="B32" s="4">
        <v>1</v>
      </c>
    </row>
    <row r="33" spans="1:2" x14ac:dyDescent="0.3">
      <c r="A33" s="3">
        <v>47</v>
      </c>
      <c r="B33" s="4">
        <v>1</v>
      </c>
    </row>
    <row r="34" spans="1:2" x14ac:dyDescent="0.3">
      <c r="A34" s="3" t="s">
        <v>31</v>
      </c>
      <c r="B34" s="4"/>
    </row>
    <row r="35" spans="1:2" x14ac:dyDescent="0.3">
      <c r="A35" s="3" t="s">
        <v>28</v>
      </c>
      <c r="B35" s="4">
        <v>606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13157-158E-4B29-9320-945A21142037}">
  <dimension ref="A1:F20"/>
  <sheetViews>
    <sheetView workbookViewId="0">
      <selection activeCell="H28" sqref="H28"/>
    </sheetView>
  </sheetViews>
  <sheetFormatPr defaultRowHeight="14.4" x14ac:dyDescent="0.3"/>
  <cols>
    <col min="1" max="1" width="12.5546875" bestFit="1" customWidth="1"/>
    <col min="2" max="2" width="20.44140625" bestFit="1" customWidth="1"/>
    <col min="6" max="6" width="26.44140625" customWidth="1"/>
  </cols>
  <sheetData>
    <row r="1" spans="1:2" x14ac:dyDescent="0.3">
      <c r="A1" s="2" t="s">
        <v>27</v>
      </c>
      <c r="B1" t="s">
        <v>26</v>
      </c>
    </row>
    <row r="2" spans="1:2" x14ac:dyDescent="0.3">
      <c r="A2" s="3">
        <v>1</v>
      </c>
      <c r="B2" s="4">
        <v>365</v>
      </c>
    </row>
    <row r="3" spans="1:2" x14ac:dyDescent="0.3">
      <c r="A3" s="3">
        <v>2</v>
      </c>
      <c r="B3" s="4">
        <v>193</v>
      </c>
    </row>
    <row r="4" spans="1:2" x14ac:dyDescent="0.3">
      <c r="A4" s="3">
        <v>3</v>
      </c>
      <c r="B4" s="4">
        <v>47</v>
      </c>
    </row>
    <row r="5" spans="1:2" x14ac:dyDescent="0.3">
      <c r="A5" s="3">
        <v>4</v>
      </c>
      <c r="B5" s="4">
        <v>1</v>
      </c>
    </row>
    <row r="6" spans="1:2" x14ac:dyDescent="0.3">
      <c r="A6" s="3" t="s">
        <v>31</v>
      </c>
      <c r="B6" s="4"/>
    </row>
    <row r="7" spans="1:2" x14ac:dyDescent="0.3">
      <c r="A7" s="3" t="s">
        <v>28</v>
      </c>
      <c r="B7" s="4">
        <v>606</v>
      </c>
    </row>
    <row r="20" spans="6:6" x14ac:dyDescent="0.3">
      <c r="F20" s="6" t="s">
        <v>34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C2B55-2665-4B49-92EF-7E9C41A98A0C}">
  <dimension ref="A1:AA16"/>
  <sheetViews>
    <sheetView workbookViewId="0">
      <selection activeCell="B15" sqref="B15"/>
    </sheetView>
  </sheetViews>
  <sheetFormatPr defaultRowHeight="14.4" x14ac:dyDescent="0.3"/>
  <cols>
    <col min="1" max="1" width="20.44140625" bestFit="1" customWidth="1"/>
    <col min="2" max="2" width="15.5546875" bestFit="1" customWidth="1"/>
    <col min="3" max="25" width="3" bestFit="1" customWidth="1"/>
    <col min="26" max="26" width="7" bestFit="1" customWidth="1"/>
    <col min="27" max="27" width="10.77734375" bestFit="1" customWidth="1"/>
  </cols>
  <sheetData>
    <row r="1" spans="1:27" x14ac:dyDescent="0.3">
      <c r="A1" s="2" t="s">
        <v>26</v>
      </c>
      <c r="B1" s="2" t="s">
        <v>29</v>
      </c>
    </row>
    <row r="2" spans="1:27" x14ac:dyDescent="0.3">
      <c r="A2" s="2" t="s">
        <v>27</v>
      </c>
      <c r="B2">
        <v>0</v>
      </c>
      <c r="C2">
        <v>1</v>
      </c>
      <c r="D2">
        <v>2</v>
      </c>
      <c r="E2">
        <v>3</v>
      </c>
      <c r="F2">
        <v>4</v>
      </c>
      <c r="G2">
        <v>5</v>
      </c>
      <c r="H2">
        <v>6</v>
      </c>
      <c r="I2">
        <v>7</v>
      </c>
      <c r="J2">
        <v>8</v>
      </c>
      <c r="K2">
        <v>9</v>
      </c>
      <c r="L2">
        <v>10</v>
      </c>
      <c r="M2">
        <v>11</v>
      </c>
      <c r="N2">
        <v>12</v>
      </c>
      <c r="O2">
        <v>13</v>
      </c>
      <c r="P2">
        <v>14</v>
      </c>
      <c r="Q2">
        <v>15</v>
      </c>
      <c r="R2">
        <v>16</v>
      </c>
      <c r="S2">
        <v>17</v>
      </c>
      <c r="T2">
        <v>18</v>
      </c>
      <c r="U2">
        <v>19</v>
      </c>
      <c r="V2">
        <v>20</v>
      </c>
      <c r="W2">
        <v>21</v>
      </c>
      <c r="X2">
        <v>22</v>
      </c>
      <c r="Y2">
        <v>23</v>
      </c>
      <c r="Z2" t="s">
        <v>31</v>
      </c>
      <c r="AA2" t="s">
        <v>28</v>
      </c>
    </row>
    <row r="3" spans="1:27" x14ac:dyDescent="0.3">
      <c r="A3" s="3">
        <v>0</v>
      </c>
      <c r="B3" s="4">
        <v>4</v>
      </c>
      <c r="C3" s="4">
        <v>4</v>
      </c>
      <c r="D3" s="4">
        <v>4</v>
      </c>
      <c r="E3" s="4">
        <v>4</v>
      </c>
      <c r="F3" s="4">
        <v>3</v>
      </c>
      <c r="G3" s="4">
        <v>2</v>
      </c>
      <c r="H3" s="4">
        <v>3</v>
      </c>
      <c r="I3" s="4">
        <v>4</v>
      </c>
      <c r="J3" s="4">
        <v>4</v>
      </c>
      <c r="K3" s="4">
        <v>4</v>
      </c>
      <c r="L3" s="4">
        <v>4</v>
      </c>
      <c r="M3" s="4">
        <v>4</v>
      </c>
      <c r="N3" s="4">
        <v>4</v>
      </c>
      <c r="O3" s="4">
        <v>4</v>
      </c>
      <c r="P3" s="4">
        <v>4</v>
      </c>
      <c r="Q3" s="4">
        <v>4</v>
      </c>
      <c r="R3" s="4">
        <v>4</v>
      </c>
      <c r="S3" s="4">
        <v>4</v>
      </c>
      <c r="T3" s="4">
        <v>4</v>
      </c>
      <c r="U3" s="4">
        <v>4</v>
      </c>
      <c r="V3" s="4">
        <v>4</v>
      </c>
      <c r="W3" s="4">
        <v>4</v>
      </c>
      <c r="X3" s="4">
        <v>4</v>
      </c>
      <c r="Y3" s="4">
        <v>4</v>
      </c>
      <c r="Z3" s="4"/>
      <c r="AA3" s="4">
        <v>92</v>
      </c>
    </row>
    <row r="4" spans="1:27" x14ac:dyDescent="0.3">
      <c r="A4" s="3">
        <v>1</v>
      </c>
      <c r="B4" s="4">
        <v>4</v>
      </c>
      <c r="C4" s="4">
        <v>4</v>
      </c>
      <c r="D4" s="4">
        <v>2</v>
      </c>
      <c r="E4" s="4">
        <v>3</v>
      </c>
      <c r="F4" s="4">
        <v>4</v>
      </c>
      <c r="G4" s="4">
        <v>4</v>
      </c>
      <c r="H4" s="4">
        <v>4</v>
      </c>
      <c r="I4" s="4">
        <v>4</v>
      </c>
      <c r="J4" s="4">
        <v>4</v>
      </c>
      <c r="K4" s="4">
        <v>4</v>
      </c>
      <c r="L4" s="4">
        <v>4</v>
      </c>
      <c r="M4" s="4">
        <v>4</v>
      </c>
      <c r="N4" s="4">
        <v>4</v>
      </c>
      <c r="O4" s="4">
        <v>4</v>
      </c>
      <c r="P4" s="4">
        <v>4</v>
      </c>
      <c r="Q4" s="4">
        <v>4</v>
      </c>
      <c r="R4" s="4">
        <v>4</v>
      </c>
      <c r="S4" s="4">
        <v>4</v>
      </c>
      <c r="T4" s="4">
        <v>4</v>
      </c>
      <c r="U4" s="4">
        <v>4</v>
      </c>
      <c r="V4" s="4">
        <v>4</v>
      </c>
      <c r="W4" s="4">
        <v>4</v>
      </c>
      <c r="X4" s="4">
        <v>4</v>
      </c>
      <c r="Y4" s="4">
        <v>4</v>
      </c>
      <c r="Z4" s="4"/>
      <c r="AA4" s="4">
        <v>93</v>
      </c>
    </row>
    <row r="5" spans="1:27" x14ac:dyDescent="0.3">
      <c r="A5" s="3">
        <v>2</v>
      </c>
      <c r="B5" s="4">
        <v>3</v>
      </c>
      <c r="C5" s="4">
        <v>3</v>
      </c>
      <c r="D5" s="4">
        <v>3</v>
      </c>
      <c r="E5" s="4"/>
      <c r="F5" s="4">
        <v>2</v>
      </c>
      <c r="G5" s="4">
        <v>3</v>
      </c>
      <c r="H5" s="4">
        <v>3</v>
      </c>
      <c r="I5" s="4">
        <v>3</v>
      </c>
      <c r="J5" s="4">
        <v>3</v>
      </c>
      <c r="K5" s="4">
        <v>3</v>
      </c>
      <c r="L5" s="4">
        <v>3</v>
      </c>
      <c r="M5" s="4">
        <v>3</v>
      </c>
      <c r="N5" s="4">
        <v>4</v>
      </c>
      <c r="O5" s="4">
        <v>4</v>
      </c>
      <c r="P5" s="4">
        <v>4</v>
      </c>
      <c r="Q5" s="4">
        <v>4</v>
      </c>
      <c r="R5" s="4">
        <v>4</v>
      </c>
      <c r="S5" s="4">
        <v>4</v>
      </c>
      <c r="T5" s="4">
        <v>4</v>
      </c>
      <c r="U5" s="4">
        <v>4</v>
      </c>
      <c r="V5" s="4">
        <v>4</v>
      </c>
      <c r="W5" s="4">
        <v>4</v>
      </c>
      <c r="X5" s="4">
        <v>4</v>
      </c>
      <c r="Y5" s="4">
        <v>4</v>
      </c>
      <c r="Z5" s="4"/>
      <c r="AA5" s="4">
        <v>80</v>
      </c>
    </row>
    <row r="6" spans="1:27" x14ac:dyDescent="0.3">
      <c r="A6" s="3">
        <v>3</v>
      </c>
      <c r="B6" s="4">
        <v>4</v>
      </c>
      <c r="C6" s="4">
        <v>4</v>
      </c>
      <c r="D6" s="4">
        <v>4</v>
      </c>
      <c r="E6" s="4"/>
      <c r="F6" s="4">
        <v>2</v>
      </c>
      <c r="G6" s="4">
        <v>4</v>
      </c>
      <c r="H6" s="4">
        <v>4</v>
      </c>
      <c r="I6" s="4">
        <v>4</v>
      </c>
      <c r="J6" s="4">
        <v>4</v>
      </c>
      <c r="K6" s="4">
        <v>4</v>
      </c>
      <c r="L6" s="4">
        <v>4</v>
      </c>
      <c r="M6" s="4">
        <v>4</v>
      </c>
      <c r="N6" s="4">
        <v>4</v>
      </c>
      <c r="O6" s="4">
        <v>4</v>
      </c>
      <c r="P6" s="4">
        <v>4</v>
      </c>
      <c r="Q6" s="4">
        <v>4</v>
      </c>
      <c r="R6" s="4">
        <v>4</v>
      </c>
      <c r="S6" s="4">
        <v>4</v>
      </c>
      <c r="T6" s="4">
        <v>3</v>
      </c>
      <c r="U6" s="4">
        <v>3</v>
      </c>
      <c r="V6" s="4">
        <v>3</v>
      </c>
      <c r="W6" s="4">
        <v>3</v>
      </c>
      <c r="X6" s="4">
        <v>3</v>
      </c>
      <c r="Y6" s="4">
        <v>3</v>
      </c>
      <c r="Z6" s="4"/>
      <c r="AA6" s="4">
        <v>84</v>
      </c>
    </row>
    <row r="7" spans="1:27" x14ac:dyDescent="0.3">
      <c r="A7" s="3">
        <v>4</v>
      </c>
      <c r="B7" s="4">
        <v>3</v>
      </c>
      <c r="C7" s="4">
        <v>3</v>
      </c>
      <c r="D7" s="4">
        <v>3</v>
      </c>
      <c r="E7" s="4">
        <v>1</v>
      </c>
      <c r="F7" s="4">
        <v>2</v>
      </c>
      <c r="G7" s="4">
        <v>3</v>
      </c>
      <c r="H7" s="4">
        <v>3</v>
      </c>
      <c r="I7" s="4">
        <v>3</v>
      </c>
      <c r="J7" s="4">
        <v>3</v>
      </c>
      <c r="K7" s="4">
        <v>3</v>
      </c>
      <c r="L7" s="4">
        <v>3</v>
      </c>
      <c r="M7" s="4">
        <v>3</v>
      </c>
      <c r="N7" s="4">
        <v>3</v>
      </c>
      <c r="O7" s="4">
        <v>3</v>
      </c>
      <c r="P7" s="4">
        <v>3</v>
      </c>
      <c r="Q7" s="4">
        <v>3</v>
      </c>
      <c r="R7" s="4">
        <v>4</v>
      </c>
      <c r="S7" s="4">
        <v>4</v>
      </c>
      <c r="T7" s="4">
        <v>4</v>
      </c>
      <c r="U7" s="4">
        <v>4</v>
      </c>
      <c r="V7" s="4">
        <v>4</v>
      </c>
      <c r="W7" s="4">
        <v>4</v>
      </c>
      <c r="X7" s="4">
        <v>4</v>
      </c>
      <c r="Y7" s="4">
        <v>4</v>
      </c>
      <c r="Z7" s="4"/>
      <c r="AA7" s="4">
        <v>77</v>
      </c>
    </row>
    <row r="8" spans="1:27" x14ac:dyDescent="0.3">
      <c r="A8" s="3">
        <v>5</v>
      </c>
      <c r="B8" s="4">
        <v>4</v>
      </c>
      <c r="C8" s="4">
        <v>4</v>
      </c>
      <c r="D8" s="4">
        <v>4</v>
      </c>
      <c r="E8" s="4">
        <v>3</v>
      </c>
      <c r="F8" s="4">
        <v>2</v>
      </c>
      <c r="G8" s="4">
        <v>4</v>
      </c>
      <c r="H8" s="4">
        <v>4</v>
      </c>
      <c r="I8" s="4">
        <v>4</v>
      </c>
      <c r="J8" s="4">
        <v>4</v>
      </c>
      <c r="K8" s="4">
        <v>4</v>
      </c>
      <c r="L8" s="4">
        <v>4</v>
      </c>
      <c r="M8" s="4">
        <v>4</v>
      </c>
      <c r="N8" s="4">
        <v>4</v>
      </c>
      <c r="O8" s="4">
        <v>4</v>
      </c>
      <c r="P8" s="4">
        <v>4</v>
      </c>
      <c r="Q8" s="4">
        <v>4</v>
      </c>
      <c r="R8" s="4">
        <v>3</v>
      </c>
      <c r="S8" s="4">
        <v>3</v>
      </c>
      <c r="T8" s="4">
        <v>3</v>
      </c>
      <c r="U8" s="4">
        <v>3</v>
      </c>
      <c r="V8" s="4">
        <v>3</v>
      </c>
      <c r="W8" s="4">
        <v>3</v>
      </c>
      <c r="X8" s="4">
        <v>3</v>
      </c>
      <c r="Y8" s="4">
        <v>3</v>
      </c>
      <c r="Z8" s="4"/>
      <c r="AA8" s="4">
        <v>85</v>
      </c>
    </row>
    <row r="9" spans="1:27" x14ac:dyDescent="0.3">
      <c r="A9" s="3">
        <v>6</v>
      </c>
      <c r="B9" s="4">
        <v>4</v>
      </c>
      <c r="C9" s="4">
        <v>4</v>
      </c>
      <c r="D9" s="4">
        <v>4</v>
      </c>
      <c r="E9" s="4">
        <v>4</v>
      </c>
      <c r="F9" s="4">
        <v>4</v>
      </c>
      <c r="G9" s="4">
        <v>3</v>
      </c>
      <c r="H9" s="4">
        <v>4</v>
      </c>
      <c r="I9" s="4">
        <v>4</v>
      </c>
      <c r="J9" s="4">
        <v>4</v>
      </c>
      <c r="K9" s="4">
        <v>4</v>
      </c>
      <c r="L9" s="4">
        <v>4</v>
      </c>
      <c r="M9" s="4">
        <v>4</v>
      </c>
      <c r="N9" s="4">
        <v>4</v>
      </c>
      <c r="O9" s="4">
        <v>4</v>
      </c>
      <c r="P9" s="4">
        <v>4</v>
      </c>
      <c r="Q9" s="4">
        <v>4</v>
      </c>
      <c r="R9" s="4">
        <v>4</v>
      </c>
      <c r="S9" s="4">
        <v>4</v>
      </c>
      <c r="T9" s="4">
        <v>4</v>
      </c>
      <c r="U9" s="4">
        <v>4</v>
      </c>
      <c r="V9" s="4">
        <v>4</v>
      </c>
      <c r="W9" s="4">
        <v>4</v>
      </c>
      <c r="X9" s="4">
        <v>4</v>
      </c>
      <c r="Y9" s="4">
        <v>4</v>
      </c>
      <c r="Z9" s="4"/>
      <c r="AA9" s="4">
        <v>95</v>
      </c>
    </row>
    <row r="10" spans="1:27" x14ac:dyDescent="0.3">
      <c r="A10" s="3" t="s">
        <v>31</v>
      </c>
      <c r="B10" s="4"/>
      <c r="C10" s="4"/>
      <c r="D10" s="4"/>
      <c r="E10" s="4"/>
      <c r="F10" s="4"/>
      <c r="G10" s="4"/>
      <c r="H10" s="4"/>
      <c r="I10" s="4"/>
      <c r="J10" s="4"/>
      <c r="K10" s="4"/>
      <c r="L10" s="4"/>
      <c r="M10" s="4"/>
      <c r="N10" s="4"/>
      <c r="O10" s="4"/>
      <c r="P10" s="4"/>
      <c r="Q10" s="4"/>
      <c r="R10" s="4"/>
      <c r="S10" s="4"/>
      <c r="T10" s="4"/>
      <c r="U10" s="4"/>
      <c r="V10" s="4"/>
      <c r="W10" s="4"/>
      <c r="X10" s="4"/>
      <c r="Y10" s="4"/>
      <c r="Z10" s="4"/>
      <c r="AA10" s="4"/>
    </row>
    <row r="11" spans="1:27" x14ac:dyDescent="0.3">
      <c r="A11" s="3" t="s">
        <v>28</v>
      </c>
      <c r="B11" s="4">
        <v>26</v>
      </c>
      <c r="C11" s="4">
        <v>26</v>
      </c>
      <c r="D11" s="4">
        <v>24</v>
      </c>
      <c r="E11" s="4">
        <v>15</v>
      </c>
      <c r="F11" s="4">
        <v>19</v>
      </c>
      <c r="G11" s="4">
        <v>23</v>
      </c>
      <c r="H11" s="4">
        <v>25</v>
      </c>
      <c r="I11" s="4">
        <v>26</v>
      </c>
      <c r="J11" s="4">
        <v>26</v>
      </c>
      <c r="K11" s="4">
        <v>26</v>
      </c>
      <c r="L11" s="4">
        <v>26</v>
      </c>
      <c r="M11" s="4">
        <v>26</v>
      </c>
      <c r="N11" s="4">
        <v>27</v>
      </c>
      <c r="O11" s="4">
        <v>27</v>
      </c>
      <c r="P11" s="4">
        <v>27</v>
      </c>
      <c r="Q11" s="4">
        <v>27</v>
      </c>
      <c r="R11" s="4">
        <v>27</v>
      </c>
      <c r="S11" s="4">
        <v>27</v>
      </c>
      <c r="T11" s="4">
        <v>26</v>
      </c>
      <c r="U11" s="4">
        <v>26</v>
      </c>
      <c r="V11" s="4">
        <v>26</v>
      </c>
      <c r="W11" s="4">
        <v>26</v>
      </c>
      <c r="X11" s="4">
        <v>26</v>
      </c>
      <c r="Y11" s="4">
        <v>26</v>
      </c>
      <c r="Z11" s="4"/>
      <c r="AA11" s="4">
        <v>606</v>
      </c>
    </row>
    <row r="16" spans="1:27" x14ac:dyDescent="0.3">
      <c r="A16" s="6" t="s">
        <v>35</v>
      </c>
    </row>
  </sheetData>
  <conditionalFormatting sqref="A1">
    <cfRule type="colorScale" priority="2">
      <colorScale>
        <cfvo type="min"/>
        <cfvo type="percentile" val="50"/>
        <cfvo type="max"/>
        <color rgb="FFF8696B"/>
        <color rgb="FFFFEB84"/>
        <color rgb="FF63BE7B"/>
      </colorScale>
    </cfRule>
  </conditionalFormatting>
  <conditionalFormatting sqref="A3:AA1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60E5D-932B-4C6A-B295-EB71796EFD31}">
  <dimension ref="A5:C6"/>
  <sheetViews>
    <sheetView workbookViewId="0">
      <selection activeCell="D2" sqref="D2"/>
    </sheetView>
  </sheetViews>
  <sheetFormatPr defaultRowHeight="14.4" x14ac:dyDescent="0.3"/>
  <cols>
    <col min="1" max="1" width="24.88671875" bestFit="1" customWidth="1"/>
    <col min="2" max="2" width="20.44140625" bestFit="1" customWidth="1"/>
    <col min="3" max="3" width="21.77734375" bestFit="1" customWidth="1"/>
    <col min="4" max="66" width="24.88671875" bestFit="1" customWidth="1"/>
    <col min="67" max="67" width="29.77734375" bestFit="1" customWidth="1"/>
    <col min="68" max="68" width="25.21875" bestFit="1" customWidth="1"/>
    <col min="69" max="102" width="3" bestFit="1" customWidth="1"/>
    <col min="103" max="111" width="4" bestFit="1" customWidth="1"/>
    <col min="112" max="112" width="6.6640625" bestFit="1" customWidth="1"/>
    <col min="113" max="113" width="4" bestFit="1" customWidth="1"/>
    <col min="114" max="117" width="2" bestFit="1" customWidth="1"/>
    <col min="118" max="129" width="3" bestFit="1" customWidth="1"/>
    <col min="130" max="130" width="4" bestFit="1" customWidth="1"/>
    <col min="131" max="135" width="3" bestFit="1" customWidth="1"/>
    <col min="136" max="137" width="4" bestFit="1" customWidth="1"/>
    <col min="138" max="145" width="3" bestFit="1" customWidth="1"/>
    <col min="146" max="146" width="4" bestFit="1" customWidth="1"/>
    <col min="147" max="147" width="3" bestFit="1" customWidth="1"/>
    <col min="148" max="157" width="4" bestFit="1" customWidth="1"/>
    <col min="158" max="158" width="6.6640625" bestFit="1" customWidth="1"/>
    <col min="159" max="159" width="4" bestFit="1" customWidth="1"/>
    <col min="160" max="178" width="3" bestFit="1" customWidth="1"/>
    <col min="179" max="179" width="4" bestFit="1" customWidth="1"/>
    <col min="180" max="181" width="3" bestFit="1" customWidth="1"/>
    <col min="182" max="182" width="4" bestFit="1" customWidth="1"/>
    <col min="183" max="192" width="3" bestFit="1" customWidth="1"/>
    <col min="193" max="193" width="4" bestFit="1" customWidth="1"/>
    <col min="194" max="194" width="3" bestFit="1" customWidth="1"/>
    <col min="195" max="205" width="4" bestFit="1" customWidth="1"/>
    <col min="206" max="206" width="6.6640625" bestFit="1" customWidth="1"/>
    <col min="207" max="207" width="4" bestFit="1" customWidth="1"/>
    <col min="208" max="221" width="3" bestFit="1" customWidth="1"/>
    <col min="222" max="222" width="4" bestFit="1" customWidth="1"/>
    <col min="223" max="232" width="3" bestFit="1" customWidth="1"/>
    <col min="233" max="239" width="4" bestFit="1" customWidth="1"/>
    <col min="240" max="240" width="6.6640625" bestFit="1" customWidth="1"/>
    <col min="241" max="241" width="4" bestFit="1" customWidth="1"/>
    <col min="242" max="256" width="3" bestFit="1" customWidth="1"/>
    <col min="257" max="257" width="4" bestFit="1" customWidth="1"/>
    <col min="258" max="264" width="3" bestFit="1" customWidth="1"/>
    <col min="265" max="271" width="4" bestFit="1" customWidth="1"/>
    <col min="272" max="272" width="27.77734375" bestFit="1" customWidth="1"/>
    <col min="273" max="273" width="6.6640625" bestFit="1" customWidth="1"/>
    <col min="274" max="274" width="4" bestFit="1" customWidth="1"/>
    <col min="275" max="282" width="3" bestFit="1" customWidth="1"/>
    <col min="283" max="283" width="4" bestFit="1" customWidth="1"/>
    <col min="284" max="292" width="3" bestFit="1" customWidth="1"/>
    <col min="293" max="299" width="4" bestFit="1" customWidth="1"/>
    <col min="300" max="300" width="6.6640625" bestFit="1" customWidth="1"/>
    <col min="301" max="301" width="4" bestFit="1" customWidth="1"/>
    <col min="302" max="304" width="3" bestFit="1" customWidth="1"/>
    <col min="305" max="305" width="4" bestFit="1" customWidth="1"/>
    <col min="306" max="313" width="3" bestFit="1" customWidth="1"/>
    <col min="314" max="319" width="4" bestFit="1" customWidth="1"/>
    <col min="320" max="320" width="6.6640625" bestFit="1" customWidth="1"/>
    <col min="321" max="321" width="4" bestFit="1" customWidth="1"/>
    <col min="322" max="335" width="3" bestFit="1" customWidth="1"/>
    <col min="336" max="338" width="4" bestFit="1" customWidth="1"/>
    <col min="339" max="339" width="6.6640625" bestFit="1" customWidth="1"/>
    <col min="340" max="340" width="4" bestFit="1" customWidth="1"/>
    <col min="341" max="348" width="3" bestFit="1" customWidth="1"/>
    <col min="349" max="353" width="4" bestFit="1" customWidth="1"/>
    <col min="354" max="354" width="6.6640625" bestFit="1" customWidth="1"/>
    <col min="355" max="355" width="5" bestFit="1" customWidth="1"/>
    <col min="356" max="359" width="3" bestFit="1" customWidth="1"/>
    <col min="360" max="364" width="4" bestFit="1" customWidth="1"/>
    <col min="365" max="365" width="7.6640625" bestFit="1" customWidth="1"/>
    <col min="366" max="366" width="5" bestFit="1" customWidth="1"/>
    <col min="367" max="373" width="3" bestFit="1" customWidth="1"/>
    <col min="374" max="374" width="4" bestFit="1" customWidth="1"/>
    <col min="375" max="375" width="3" bestFit="1" customWidth="1"/>
    <col min="376" max="376" width="4" bestFit="1" customWidth="1"/>
    <col min="377" max="377" width="3" bestFit="1" customWidth="1"/>
    <col min="378" max="378" width="4" bestFit="1" customWidth="1"/>
    <col min="379" max="379" width="7.6640625" bestFit="1" customWidth="1"/>
    <col min="380" max="380" width="5" bestFit="1" customWidth="1"/>
    <col min="381" max="384" width="3" bestFit="1" customWidth="1"/>
    <col min="385" max="385" width="4" bestFit="1" customWidth="1"/>
    <col min="386" max="388" width="3" bestFit="1" customWidth="1"/>
    <col min="389" max="389" width="7.6640625" bestFit="1" customWidth="1"/>
    <col min="390" max="390" width="5" bestFit="1" customWidth="1"/>
    <col min="391" max="393" width="3" bestFit="1" customWidth="1"/>
    <col min="394" max="394" width="4" bestFit="1" customWidth="1"/>
    <col min="395" max="395" width="7.6640625" bestFit="1" customWidth="1"/>
    <col min="396" max="396" width="5" bestFit="1" customWidth="1"/>
    <col min="397" max="398" width="3" bestFit="1" customWidth="1"/>
    <col min="399" max="400" width="4" bestFit="1" customWidth="1"/>
    <col min="401" max="401" width="7.6640625" bestFit="1" customWidth="1"/>
    <col min="402" max="402" width="5" bestFit="1" customWidth="1"/>
    <col min="403" max="406" width="3" bestFit="1" customWidth="1"/>
    <col min="407" max="407" width="7.6640625" bestFit="1" customWidth="1"/>
    <col min="408" max="408" width="5" bestFit="1" customWidth="1"/>
    <col min="409" max="409" width="3" bestFit="1" customWidth="1"/>
    <col min="410" max="410" width="4" bestFit="1" customWidth="1"/>
    <col min="411" max="411" width="7.6640625" bestFit="1" customWidth="1"/>
    <col min="412" max="412" width="5" bestFit="1" customWidth="1"/>
    <col min="413" max="413" width="4" bestFit="1" customWidth="1"/>
    <col min="414" max="414" width="7.6640625" bestFit="1" customWidth="1"/>
    <col min="415" max="415" width="5" bestFit="1" customWidth="1"/>
    <col min="416" max="416" width="3" bestFit="1" customWidth="1"/>
    <col min="417" max="417" width="7.6640625" bestFit="1" customWidth="1"/>
    <col min="418" max="418" width="5" bestFit="1" customWidth="1"/>
    <col min="419" max="419" width="3" bestFit="1" customWidth="1"/>
    <col min="420" max="420" width="7.6640625" bestFit="1" customWidth="1"/>
    <col min="421" max="421" width="5" bestFit="1" customWidth="1"/>
    <col min="422" max="422" width="4" bestFit="1" customWidth="1"/>
    <col min="423" max="423" width="7.6640625" bestFit="1" customWidth="1"/>
    <col min="424" max="424" width="5" bestFit="1" customWidth="1"/>
    <col min="425" max="428" width="4" bestFit="1" customWidth="1"/>
    <col min="429" max="429" width="7.6640625" bestFit="1" customWidth="1"/>
    <col min="430" max="430" width="5" bestFit="1" customWidth="1"/>
    <col min="431" max="431" width="4" bestFit="1" customWidth="1"/>
    <col min="432" max="432" width="7.6640625" bestFit="1" customWidth="1"/>
    <col min="433" max="433" width="5" bestFit="1" customWidth="1"/>
    <col min="434" max="435" width="4" bestFit="1" customWidth="1"/>
    <col min="436" max="436" width="7.6640625" bestFit="1" customWidth="1"/>
    <col min="437" max="437" width="5" bestFit="1" customWidth="1"/>
    <col min="438" max="438" width="7.6640625" bestFit="1" customWidth="1"/>
    <col min="439" max="439" width="5" bestFit="1" customWidth="1"/>
    <col min="440" max="440" width="4" bestFit="1" customWidth="1"/>
    <col min="441" max="441" width="7.6640625" bestFit="1" customWidth="1"/>
    <col min="442" max="442" width="5" bestFit="1" customWidth="1"/>
    <col min="443" max="443" width="3" bestFit="1" customWidth="1"/>
    <col min="444" max="444" width="4" bestFit="1" customWidth="1"/>
    <col min="445" max="445" width="7.6640625" bestFit="1" customWidth="1"/>
    <col min="446" max="446" width="5" bestFit="1" customWidth="1"/>
    <col min="447" max="447" width="7.6640625" bestFit="1" customWidth="1"/>
    <col min="448" max="448" width="5" bestFit="1" customWidth="1"/>
    <col min="449" max="449" width="4" bestFit="1" customWidth="1"/>
    <col min="450" max="450" width="7.6640625" bestFit="1" customWidth="1"/>
    <col min="451" max="451" width="5" bestFit="1" customWidth="1"/>
    <col min="452" max="452" width="7.6640625" bestFit="1" customWidth="1"/>
    <col min="453" max="453" width="5" bestFit="1" customWidth="1"/>
    <col min="454" max="454" width="7.6640625" bestFit="1" customWidth="1"/>
    <col min="455" max="455" width="5" bestFit="1" customWidth="1"/>
    <col min="456" max="456" width="7.6640625" bestFit="1" customWidth="1"/>
    <col min="457" max="457" width="9" bestFit="1" customWidth="1"/>
    <col min="458" max="458" width="11.6640625" bestFit="1" customWidth="1"/>
    <col min="459" max="459" width="10.77734375" bestFit="1" customWidth="1"/>
    <col min="460" max="460" width="8.6640625" bestFit="1" customWidth="1"/>
    <col min="461" max="461" width="6" bestFit="1" customWidth="1"/>
    <col min="462" max="462" width="8.6640625" bestFit="1" customWidth="1"/>
    <col min="463" max="463" width="6" bestFit="1" customWidth="1"/>
    <col min="464" max="464" width="8.6640625" bestFit="1" customWidth="1"/>
    <col min="465" max="465" width="6" bestFit="1" customWidth="1"/>
    <col min="466" max="466" width="8.6640625" bestFit="1" customWidth="1"/>
    <col min="467" max="467" width="6" bestFit="1" customWidth="1"/>
    <col min="468" max="468" width="8.6640625" bestFit="1" customWidth="1"/>
    <col min="469" max="469" width="6" bestFit="1" customWidth="1"/>
    <col min="470" max="470" width="8.6640625" bestFit="1" customWidth="1"/>
    <col min="471" max="471" width="6" bestFit="1" customWidth="1"/>
    <col min="472" max="472" width="8.6640625" bestFit="1" customWidth="1"/>
    <col min="473" max="473" width="6.6640625" bestFit="1" customWidth="1"/>
    <col min="474" max="474" width="5" bestFit="1" customWidth="1"/>
    <col min="475" max="475" width="7.6640625" bestFit="1" customWidth="1"/>
    <col min="476" max="476" width="5" bestFit="1" customWidth="1"/>
    <col min="477" max="477" width="7.6640625" bestFit="1" customWidth="1"/>
    <col min="478" max="478" width="5" bestFit="1" customWidth="1"/>
    <col min="479" max="479" width="7.6640625" bestFit="1" customWidth="1"/>
    <col min="480" max="480" width="5" bestFit="1" customWidth="1"/>
    <col min="481" max="481" width="7.6640625" bestFit="1" customWidth="1"/>
    <col min="482" max="482" width="5" bestFit="1" customWidth="1"/>
    <col min="483" max="483" width="7.6640625" bestFit="1" customWidth="1"/>
    <col min="484" max="484" width="5" bestFit="1" customWidth="1"/>
    <col min="485" max="485" width="7.6640625" bestFit="1" customWidth="1"/>
    <col min="486" max="486" width="5" bestFit="1" customWidth="1"/>
    <col min="487" max="487" width="7.6640625" bestFit="1" customWidth="1"/>
    <col min="488" max="488" width="5" bestFit="1" customWidth="1"/>
    <col min="489" max="489" width="7.6640625" bestFit="1" customWidth="1"/>
    <col min="490" max="490" width="5" bestFit="1" customWidth="1"/>
    <col min="491" max="491" width="7.6640625" bestFit="1" customWidth="1"/>
    <col min="492" max="492" width="5" bestFit="1" customWidth="1"/>
    <col min="493" max="493" width="7.6640625" bestFit="1" customWidth="1"/>
    <col min="494" max="494" width="5" bestFit="1" customWidth="1"/>
    <col min="495" max="495" width="7.6640625" bestFit="1" customWidth="1"/>
    <col min="496" max="496" width="5" bestFit="1" customWidth="1"/>
    <col min="497" max="497" width="7.6640625" bestFit="1" customWidth="1"/>
    <col min="498" max="498" width="5" bestFit="1" customWidth="1"/>
    <col min="499" max="499" width="7.6640625" bestFit="1" customWidth="1"/>
    <col min="500" max="500" width="5" bestFit="1" customWidth="1"/>
    <col min="501" max="501" width="7.6640625" bestFit="1" customWidth="1"/>
    <col min="502" max="502" width="5" bestFit="1" customWidth="1"/>
    <col min="503" max="503" width="7.6640625" bestFit="1" customWidth="1"/>
    <col min="504" max="504" width="5" bestFit="1" customWidth="1"/>
    <col min="505" max="505" width="7.6640625" bestFit="1" customWidth="1"/>
    <col min="506" max="506" width="5" bestFit="1" customWidth="1"/>
    <col min="507" max="507" width="7.6640625" bestFit="1" customWidth="1"/>
    <col min="508" max="508" width="5" bestFit="1" customWidth="1"/>
    <col min="509" max="509" width="7.6640625" bestFit="1" customWidth="1"/>
    <col min="510" max="510" width="5" bestFit="1" customWidth="1"/>
    <col min="511" max="511" width="7.6640625" bestFit="1" customWidth="1"/>
    <col min="512" max="512" width="5" bestFit="1" customWidth="1"/>
    <col min="513" max="513" width="7.6640625" bestFit="1" customWidth="1"/>
    <col min="514" max="514" width="5" bestFit="1" customWidth="1"/>
    <col min="515" max="515" width="7.6640625" bestFit="1" customWidth="1"/>
    <col min="516" max="516" width="5" bestFit="1" customWidth="1"/>
    <col min="517" max="517" width="7.6640625" bestFit="1" customWidth="1"/>
    <col min="518" max="518" width="5" bestFit="1" customWidth="1"/>
    <col min="519" max="519" width="7.6640625" bestFit="1" customWidth="1"/>
    <col min="520" max="520" width="5" bestFit="1" customWidth="1"/>
    <col min="521" max="521" width="7.6640625" bestFit="1" customWidth="1"/>
    <col min="522" max="522" width="6" bestFit="1" customWidth="1"/>
    <col min="523" max="523" width="8.6640625" bestFit="1" customWidth="1"/>
    <col min="524" max="524" width="6" bestFit="1" customWidth="1"/>
    <col min="525" max="525" width="8.6640625" bestFit="1" customWidth="1"/>
    <col min="526" max="526" width="6" bestFit="1" customWidth="1"/>
    <col min="527" max="527" width="8.6640625" bestFit="1" customWidth="1"/>
    <col min="528" max="528" width="6" bestFit="1" customWidth="1"/>
    <col min="529" max="529" width="8.6640625" bestFit="1" customWidth="1"/>
    <col min="530" max="530" width="6" bestFit="1" customWidth="1"/>
    <col min="531" max="531" width="8.6640625" bestFit="1" customWidth="1"/>
    <col min="532" max="532" width="6" bestFit="1" customWidth="1"/>
    <col min="533" max="533" width="8.6640625" bestFit="1" customWidth="1"/>
    <col min="534" max="534" width="6" bestFit="1" customWidth="1"/>
    <col min="535" max="535" width="8.6640625" bestFit="1" customWidth="1"/>
    <col min="536" max="536" width="29.77734375" bestFit="1" customWidth="1"/>
    <col min="537" max="537" width="32.5546875" bestFit="1" customWidth="1"/>
    <col min="538" max="538" width="6.6640625" bestFit="1" customWidth="1"/>
    <col min="539" max="539" width="5" bestFit="1" customWidth="1"/>
    <col min="540" max="540" width="7.6640625" bestFit="1" customWidth="1"/>
    <col min="541" max="541" width="5" bestFit="1" customWidth="1"/>
    <col min="542" max="542" width="7.6640625" bestFit="1" customWidth="1"/>
    <col min="543" max="543" width="5" bestFit="1" customWidth="1"/>
    <col min="544" max="544" width="7.6640625" bestFit="1" customWidth="1"/>
    <col min="545" max="545" width="5" bestFit="1" customWidth="1"/>
    <col min="546" max="546" width="7.6640625" bestFit="1" customWidth="1"/>
    <col min="547" max="547" width="5" bestFit="1" customWidth="1"/>
    <col min="548" max="548" width="7.6640625" bestFit="1" customWidth="1"/>
    <col min="549" max="549" width="5" bestFit="1" customWidth="1"/>
    <col min="550" max="550" width="7.6640625" bestFit="1" customWidth="1"/>
    <col min="551" max="551" width="5" bestFit="1" customWidth="1"/>
    <col min="552" max="552" width="7.6640625" bestFit="1" customWidth="1"/>
    <col min="553" max="553" width="5" bestFit="1" customWidth="1"/>
    <col min="554" max="554" width="7.6640625" bestFit="1" customWidth="1"/>
    <col min="555" max="555" width="5" bestFit="1" customWidth="1"/>
    <col min="556" max="556" width="7.6640625" bestFit="1" customWidth="1"/>
    <col min="557" max="557" width="5" bestFit="1" customWidth="1"/>
    <col min="558" max="558" width="7.6640625" bestFit="1" customWidth="1"/>
    <col min="559" max="559" width="5" bestFit="1" customWidth="1"/>
    <col min="560" max="560" width="7.6640625" bestFit="1" customWidth="1"/>
    <col min="561" max="561" width="5" bestFit="1" customWidth="1"/>
    <col min="562" max="562" width="7.6640625" bestFit="1" customWidth="1"/>
    <col min="563" max="563" width="5" bestFit="1" customWidth="1"/>
    <col min="564" max="564" width="7.6640625" bestFit="1" customWidth="1"/>
    <col min="565" max="565" width="5" bestFit="1" customWidth="1"/>
    <col min="566" max="566" width="7.6640625" bestFit="1" customWidth="1"/>
    <col min="567" max="567" width="5" bestFit="1" customWidth="1"/>
    <col min="568" max="568" width="7.6640625" bestFit="1" customWidth="1"/>
    <col min="569" max="569" width="5" bestFit="1" customWidth="1"/>
    <col min="570" max="570" width="7.6640625" bestFit="1" customWidth="1"/>
    <col min="571" max="571" width="5" bestFit="1" customWidth="1"/>
    <col min="572" max="572" width="7.6640625" bestFit="1" customWidth="1"/>
    <col min="573" max="573" width="5" bestFit="1" customWidth="1"/>
    <col min="574" max="574" width="7.6640625" bestFit="1" customWidth="1"/>
    <col min="575" max="575" width="5" bestFit="1" customWidth="1"/>
    <col min="576" max="576" width="7.6640625" bestFit="1" customWidth="1"/>
    <col min="577" max="577" width="6" bestFit="1" customWidth="1"/>
    <col min="578" max="578" width="8.6640625" bestFit="1" customWidth="1"/>
    <col min="579" max="579" width="6" bestFit="1" customWidth="1"/>
    <col min="580" max="580" width="8.6640625" bestFit="1" customWidth="1"/>
    <col min="581" max="581" width="6" bestFit="1" customWidth="1"/>
    <col min="582" max="582" width="8.6640625" bestFit="1" customWidth="1"/>
    <col min="583" max="583" width="6" bestFit="1" customWidth="1"/>
    <col min="584" max="584" width="8.6640625" bestFit="1" customWidth="1"/>
    <col min="585" max="585" width="6" bestFit="1" customWidth="1"/>
    <col min="586" max="586" width="8.6640625" bestFit="1" customWidth="1"/>
    <col min="587" max="587" width="6" bestFit="1" customWidth="1"/>
    <col min="588" max="588" width="8.6640625" bestFit="1" customWidth="1"/>
    <col min="589" max="589" width="6" bestFit="1" customWidth="1"/>
    <col min="590" max="590" width="8.6640625" bestFit="1" customWidth="1"/>
    <col min="591" max="591" width="6.6640625" bestFit="1" customWidth="1"/>
    <col min="592" max="592" width="5" bestFit="1" customWidth="1"/>
    <col min="593" max="593" width="7.6640625" bestFit="1" customWidth="1"/>
    <col min="594" max="594" width="5" bestFit="1" customWidth="1"/>
    <col min="595" max="595" width="7.6640625" bestFit="1" customWidth="1"/>
    <col min="596" max="596" width="5" bestFit="1" customWidth="1"/>
    <col min="597" max="597" width="7.6640625" bestFit="1" customWidth="1"/>
    <col min="598" max="598" width="5" bestFit="1" customWidth="1"/>
    <col min="599" max="599" width="7.6640625" bestFit="1" customWidth="1"/>
    <col min="600" max="600" width="5" bestFit="1" customWidth="1"/>
    <col min="601" max="601" width="7.6640625" bestFit="1" customWidth="1"/>
    <col min="602" max="602" width="5" bestFit="1" customWidth="1"/>
    <col min="603" max="603" width="7.6640625" bestFit="1" customWidth="1"/>
    <col min="604" max="604" width="5" bestFit="1" customWidth="1"/>
    <col min="605" max="605" width="7.6640625" bestFit="1" customWidth="1"/>
    <col min="606" max="606" width="5" bestFit="1" customWidth="1"/>
    <col min="607" max="607" width="7.6640625" bestFit="1" customWidth="1"/>
    <col min="608" max="608" width="5" bestFit="1" customWidth="1"/>
    <col min="609" max="609" width="7.6640625" bestFit="1" customWidth="1"/>
    <col min="610" max="610" width="5" bestFit="1" customWidth="1"/>
    <col min="611" max="611" width="7.6640625" bestFit="1" customWidth="1"/>
    <col min="612" max="612" width="5" bestFit="1" customWidth="1"/>
    <col min="613" max="613" width="7.6640625" bestFit="1" customWidth="1"/>
    <col min="614" max="614" width="5" bestFit="1" customWidth="1"/>
    <col min="615" max="615" width="7.6640625" bestFit="1" customWidth="1"/>
    <col min="616" max="616" width="5" bestFit="1" customWidth="1"/>
    <col min="617" max="617" width="7.6640625" bestFit="1" customWidth="1"/>
    <col min="618" max="618" width="6" bestFit="1" customWidth="1"/>
    <col min="619" max="619" width="8.6640625" bestFit="1" customWidth="1"/>
    <col min="620" max="620" width="6" bestFit="1" customWidth="1"/>
    <col min="621" max="621" width="8.6640625" bestFit="1" customWidth="1"/>
    <col min="622" max="622" width="6" bestFit="1" customWidth="1"/>
    <col min="623" max="623" width="8.6640625" bestFit="1" customWidth="1"/>
    <col min="624" max="624" width="6" bestFit="1" customWidth="1"/>
    <col min="625" max="625" width="8.6640625" bestFit="1" customWidth="1"/>
    <col min="626" max="626" width="6" bestFit="1" customWidth="1"/>
    <col min="627" max="627" width="8.6640625" bestFit="1" customWidth="1"/>
    <col min="628" max="628" width="6" bestFit="1" customWidth="1"/>
    <col min="629" max="629" width="8.6640625" bestFit="1" customWidth="1"/>
    <col min="630" max="630" width="6.6640625" bestFit="1" customWidth="1"/>
    <col min="631" max="631" width="5" bestFit="1" customWidth="1"/>
    <col min="632" max="632" width="7.6640625" bestFit="1" customWidth="1"/>
    <col min="633" max="633" width="5" bestFit="1" customWidth="1"/>
    <col min="634" max="634" width="7.6640625" bestFit="1" customWidth="1"/>
    <col min="635" max="635" width="5" bestFit="1" customWidth="1"/>
    <col min="636" max="636" width="7.6640625" bestFit="1" customWidth="1"/>
    <col min="637" max="637" width="5" bestFit="1" customWidth="1"/>
    <col min="638" max="638" width="7.6640625" bestFit="1" customWidth="1"/>
    <col min="639" max="639" width="5" bestFit="1" customWidth="1"/>
    <col min="640" max="640" width="7.6640625" bestFit="1" customWidth="1"/>
    <col min="641" max="641" width="5" bestFit="1" customWidth="1"/>
    <col min="642" max="642" width="7.6640625" bestFit="1" customWidth="1"/>
    <col min="643" max="643" width="5" bestFit="1" customWidth="1"/>
    <col min="644" max="644" width="7.6640625" bestFit="1" customWidth="1"/>
    <col min="645" max="645" width="5" bestFit="1" customWidth="1"/>
    <col min="646" max="646" width="7.6640625" bestFit="1" customWidth="1"/>
    <col min="647" max="647" width="5" bestFit="1" customWidth="1"/>
    <col min="648" max="648" width="7.6640625" bestFit="1" customWidth="1"/>
    <col min="649" max="649" width="5" bestFit="1" customWidth="1"/>
    <col min="650" max="650" width="7.6640625" bestFit="1" customWidth="1"/>
    <col min="651" max="651" width="5" bestFit="1" customWidth="1"/>
    <col min="652" max="652" width="7.6640625" bestFit="1" customWidth="1"/>
    <col min="653" max="653" width="5" bestFit="1" customWidth="1"/>
    <col min="654" max="654" width="7.6640625" bestFit="1" customWidth="1"/>
    <col min="655" max="655" width="5" bestFit="1" customWidth="1"/>
    <col min="656" max="656" width="7.6640625" bestFit="1" customWidth="1"/>
    <col min="657" max="657" width="5" bestFit="1" customWidth="1"/>
    <col min="658" max="658" width="7.6640625" bestFit="1" customWidth="1"/>
    <col min="659" max="659" width="5" bestFit="1" customWidth="1"/>
    <col min="660" max="660" width="7.6640625" bestFit="1" customWidth="1"/>
    <col min="661" max="661" width="6" bestFit="1" customWidth="1"/>
    <col min="662" max="662" width="8.6640625" bestFit="1" customWidth="1"/>
    <col min="663" max="663" width="6" bestFit="1" customWidth="1"/>
    <col min="664" max="664" width="8.6640625" bestFit="1" customWidth="1"/>
    <col min="665" max="665" width="6" bestFit="1" customWidth="1"/>
    <col min="666" max="666" width="8.6640625" bestFit="1" customWidth="1"/>
    <col min="667" max="667" width="6.6640625" bestFit="1" customWidth="1"/>
    <col min="668" max="668" width="5" bestFit="1" customWidth="1"/>
    <col min="669" max="669" width="7.6640625" bestFit="1" customWidth="1"/>
    <col min="670" max="670" width="5" bestFit="1" customWidth="1"/>
    <col min="671" max="671" width="7.6640625" bestFit="1" customWidth="1"/>
    <col min="672" max="672" width="5" bestFit="1" customWidth="1"/>
    <col min="673" max="673" width="7.6640625" bestFit="1" customWidth="1"/>
    <col min="674" max="674" width="5" bestFit="1" customWidth="1"/>
    <col min="675" max="675" width="7.6640625" bestFit="1" customWidth="1"/>
    <col min="676" max="676" width="5" bestFit="1" customWidth="1"/>
    <col min="677" max="677" width="7.6640625" bestFit="1" customWidth="1"/>
    <col min="678" max="678" width="5" bestFit="1" customWidth="1"/>
    <col min="679" max="679" width="7.6640625" bestFit="1" customWidth="1"/>
    <col min="680" max="680" width="5" bestFit="1" customWidth="1"/>
    <col min="681" max="681" width="7.6640625" bestFit="1" customWidth="1"/>
    <col min="682" max="682" width="5" bestFit="1" customWidth="1"/>
    <col min="683" max="683" width="7.6640625" bestFit="1" customWidth="1"/>
    <col min="684" max="684" width="5" bestFit="1" customWidth="1"/>
    <col min="685" max="685" width="7.6640625" bestFit="1" customWidth="1"/>
    <col min="686" max="686" width="5" bestFit="1" customWidth="1"/>
    <col min="687" max="687" width="7.6640625" bestFit="1" customWidth="1"/>
    <col min="688" max="688" width="6" bestFit="1" customWidth="1"/>
    <col min="689" max="689" width="8.6640625" bestFit="1" customWidth="1"/>
    <col min="690" max="690" width="6" bestFit="1" customWidth="1"/>
    <col min="691" max="691" width="8.6640625" bestFit="1" customWidth="1"/>
    <col min="692" max="692" width="6" bestFit="1" customWidth="1"/>
    <col min="693" max="693" width="8.6640625" bestFit="1" customWidth="1"/>
    <col min="694" max="694" width="6" bestFit="1" customWidth="1"/>
    <col min="695" max="695" width="8.6640625" bestFit="1" customWidth="1"/>
    <col min="696" max="696" width="6.6640625" bestFit="1" customWidth="1"/>
    <col min="697" max="697" width="5" bestFit="1" customWidth="1"/>
    <col min="698" max="698" width="7.6640625" bestFit="1" customWidth="1"/>
    <col min="699" max="699" width="5" bestFit="1" customWidth="1"/>
    <col min="700" max="700" width="7.6640625" bestFit="1" customWidth="1"/>
    <col min="701" max="701" width="5" bestFit="1" customWidth="1"/>
    <col min="702" max="702" width="7.6640625" bestFit="1" customWidth="1"/>
    <col min="703" max="703" width="5" bestFit="1" customWidth="1"/>
    <col min="704" max="704" width="7.6640625" bestFit="1" customWidth="1"/>
    <col min="705" max="705" width="5" bestFit="1" customWidth="1"/>
    <col min="706" max="706" width="7.6640625" bestFit="1" customWidth="1"/>
    <col min="707" max="707" width="6" bestFit="1" customWidth="1"/>
    <col min="708" max="708" width="8.6640625" bestFit="1" customWidth="1"/>
    <col min="709" max="709" width="6" bestFit="1" customWidth="1"/>
    <col min="710" max="710" width="8.6640625" bestFit="1" customWidth="1"/>
    <col min="711" max="711" width="6" bestFit="1" customWidth="1"/>
    <col min="712" max="712" width="8.6640625" bestFit="1" customWidth="1"/>
    <col min="713" max="713" width="6" bestFit="1" customWidth="1"/>
    <col min="714" max="714" width="8.6640625" bestFit="1" customWidth="1"/>
    <col min="715" max="715" width="6" bestFit="1" customWidth="1"/>
    <col min="716" max="716" width="8.6640625" bestFit="1" customWidth="1"/>
    <col min="717" max="717" width="7.6640625" bestFit="1" customWidth="1"/>
    <col min="718" max="718" width="5" bestFit="1" customWidth="1"/>
    <col min="719" max="719" width="7.6640625" bestFit="1" customWidth="1"/>
    <col min="720" max="720" width="5" bestFit="1" customWidth="1"/>
    <col min="721" max="721" width="7.6640625" bestFit="1" customWidth="1"/>
    <col min="722" max="722" width="5" bestFit="1" customWidth="1"/>
    <col min="723" max="723" width="7.6640625" bestFit="1" customWidth="1"/>
    <col min="724" max="724" width="5" bestFit="1" customWidth="1"/>
    <col min="725" max="725" width="7.6640625" bestFit="1" customWidth="1"/>
    <col min="726" max="726" width="5" bestFit="1" customWidth="1"/>
    <col min="727" max="727" width="7.6640625" bestFit="1" customWidth="1"/>
    <col min="728" max="728" width="5" bestFit="1" customWidth="1"/>
    <col min="729" max="729" width="7.6640625" bestFit="1" customWidth="1"/>
    <col min="730" max="730" width="5" bestFit="1" customWidth="1"/>
    <col min="731" max="731" width="7.6640625" bestFit="1" customWidth="1"/>
    <col min="732" max="732" width="5" bestFit="1" customWidth="1"/>
    <col min="733" max="733" width="7.6640625" bestFit="1" customWidth="1"/>
    <col min="734" max="734" width="5" bestFit="1" customWidth="1"/>
    <col min="735" max="735" width="7.6640625" bestFit="1" customWidth="1"/>
    <col min="736" max="736" width="5" bestFit="1" customWidth="1"/>
    <col min="737" max="737" width="7.6640625" bestFit="1" customWidth="1"/>
    <col min="738" max="738" width="5" bestFit="1" customWidth="1"/>
    <col min="739" max="739" width="7.6640625" bestFit="1" customWidth="1"/>
    <col min="740" max="740" width="5" bestFit="1" customWidth="1"/>
    <col min="741" max="741" width="7.6640625" bestFit="1" customWidth="1"/>
    <col min="742" max="742" width="6" bestFit="1" customWidth="1"/>
    <col min="743" max="743" width="8.6640625" bestFit="1" customWidth="1"/>
    <col min="744" max="744" width="7.6640625" bestFit="1" customWidth="1"/>
    <col min="745" max="745" width="5" bestFit="1" customWidth="1"/>
    <col min="746" max="746" width="7.6640625" bestFit="1" customWidth="1"/>
    <col min="747" max="747" width="5" bestFit="1" customWidth="1"/>
    <col min="748" max="748" width="7.6640625" bestFit="1" customWidth="1"/>
    <col min="749" max="749" width="5" bestFit="1" customWidth="1"/>
    <col min="750" max="750" width="7.6640625" bestFit="1" customWidth="1"/>
    <col min="751" max="751" width="5" bestFit="1" customWidth="1"/>
    <col min="752" max="752" width="7.6640625" bestFit="1" customWidth="1"/>
    <col min="753" max="753" width="5" bestFit="1" customWidth="1"/>
    <col min="754" max="754" width="7.6640625" bestFit="1" customWidth="1"/>
    <col min="755" max="755" width="5" bestFit="1" customWidth="1"/>
    <col min="756" max="756" width="7.6640625" bestFit="1" customWidth="1"/>
    <col min="757" max="757" width="5" bestFit="1" customWidth="1"/>
    <col min="758" max="758" width="7.6640625" bestFit="1" customWidth="1"/>
    <col min="759" max="759" width="5" bestFit="1" customWidth="1"/>
    <col min="760" max="760" width="7.6640625" bestFit="1" customWidth="1"/>
    <col min="761" max="761" width="5" bestFit="1" customWidth="1"/>
    <col min="762" max="763" width="7.6640625" bestFit="1" customWidth="1"/>
    <col min="764" max="764" width="5" bestFit="1" customWidth="1"/>
    <col min="765" max="765" width="7.6640625" bestFit="1" customWidth="1"/>
    <col min="766" max="766" width="5" bestFit="1" customWidth="1"/>
    <col min="767" max="767" width="7.6640625" bestFit="1" customWidth="1"/>
    <col min="768" max="768" width="5" bestFit="1" customWidth="1"/>
    <col min="769" max="769" width="7.6640625" bestFit="1" customWidth="1"/>
    <col min="770" max="770" width="5" bestFit="1" customWidth="1"/>
    <col min="771" max="771" width="7.6640625" bestFit="1" customWidth="1"/>
    <col min="772" max="772" width="6" bestFit="1" customWidth="1"/>
    <col min="773" max="773" width="8.6640625" bestFit="1" customWidth="1"/>
    <col min="774" max="774" width="7.6640625" bestFit="1" customWidth="1"/>
    <col min="775" max="775" width="5" bestFit="1" customWidth="1"/>
    <col min="776" max="776" width="7.6640625" bestFit="1" customWidth="1"/>
    <col min="777" max="777" width="5" bestFit="1" customWidth="1"/>
    <col min="778" max="778" width="7.6640625" bestFit="1" customWidth="1"/>
    <col min="779" max="779" width="5" bestFit="1" customWidth="1"/>
    <col min="780" max="780" width="7.6640625" bestFit="1" customWidth="1"/>
    <col min="781" max="781" width="6" bestFit="1" customWidth="1"/>
    <col min="782" max="782" width="8.6640625" bestFit="1" customWidth="1"/>
    <col min="783" max="783" width="6" bestFit="1" customWidth="1"/>
    <col min="784" max="784" width="8.6640625" bestFit="1" customWidth="1"/>
    <col min="785" max="785" width="7.6640625" bestFit="1" customWidth="1"/>
    <col min="786" max="786" width="5" bestFit="1" customWidth="1"/>
    <col min="787" max="787" width="7.6640625" bestFit="1" customWidth="1"/>
    <col min="788" max="788" width="5" bestFit="1" customWidth="1"/>
    <col min="789" max="789" width="7.6640625" bestFit="1" customWidth="1"/>
    <col min="790" max="790" width="5" bestFit="1" customWidth="1"/>
    <col min="791" max="791" width="7.6640625" bestFit="1" customWidth="1"/>
    <col min="792" max="792" width="5" bestFit="1" customWidth="1"/>
    <col min="793" max="793" width="7.6640625" bestFit="1" customWidth="1"/>
    <col min="794" max="794" width="5" bestFit="1" customWidth="1"/>
    <col min="795" max="796" width="7.6640625" bestFit="1" customWidth="1"/>
    <col min="797" max="797" width="5" bestFit="1" customWidth="1"/>
    <col min="798" max="798" width="7.6640625" bestFit="1" customWidth="1"/>
    <col min="799" max="799" width="5" bestFit="1" customWidth="1"/>
    <col min="800" max="800" width="7.6640625" bestFit="1" customWidth="1"/>
    <col min="801" max="801" width="6" bestFit="1" customWidth="1"/>
    <col min="802" max="802" width="8.6640625" bestFit="1" customWidth="1"/>
    <col min="803" max="803" width="7.6640625" bestFit="1" customWidth="1"/>
    <col min="804" max="804" width="5" bestFit="1" customWidth="1"/>
    <col min="805" max="805" width="7.6640625" bestFit="1" customWidth="1"/>
    <col min="806" max="806" width="6" bestFit="1" customWidth="1"/>
    <col min="807" max="807" width="8.6640625" bestFit="1" customWidth="1"/>
    <col min="808" max="808" width="7.6640625" bestFit="1" customWidth="1"/>
    <col min="809" max="809" width="5" bestFit="1" customWidth="1"/>
    <col min="810" max="810" width="7.6640625" bestFit="1" customWidth="1"/>
    <col min="811" max="811" width="5" bestFit="1" customWidth="1"/>
    <col min="812" max="813" width="7.6640625" bestFit="1" customWidth="1"/>
    <col min="814" max="814" width="5" bestFit="1" customWidth="1"/>
    <col min="815" max="815" width="7.6640625" bestFit="1" customWidth="1"/>
    <col min="816" max="816" width="5" bestFit="1" customWidth="1"/>
    <col min="817" max="818" width="7.6640625" bestFit="1" customWidth="1"/>
    <col min="819" max="819" width="5" bestFit="1" customWidth="1"/>
    <col min="820" max="820" width="7.6640625" bestFit="1" customWidth="1"/>
    <col min="821" max="821" width="6" bestFit="1" customWidth="1"/>
    <col min="822" max="822" width="8.6640625" bestFit="1" customWidth="1"/>
    <col min="823" max="823" width="7.6640625" bestFit="1" customWidth="1"/>
    <col min="824" max="824" width="5" bestFit="1" customWidth="1"/>
    <col min="825" max="825" width="7.6640625" bestFit="1" customWidth="1"/>
    <col min="826" max="826" width="5" bestFit="1" customWidth="1"/>
    <col min="827" max="827" width="7.6640625" bestFit="1" customWidth="1"/>
    <col min="828" max="828" width="6" bestFit="1" customWidth="1"/>
    <col min="829" max="829" width="8.6640625" bestFit="1" customWidth="1"/>
    <col min="830" max="830" width="6" bestFit="1" customWidth="1"/>
    <col min="831" max="831" width="8.6640625" bestFit="1" customWidth="1"/>
    <col min="832" max="832" width="6" bestFit="1" customWidth="1"/>
    <col min="833" max="833" width="8.6640625" bestFit="1" customWidth="1"/>
    <col min="834" max="834" width="7.6640625" bestFit="1" customWidth="1"/>
    <col min="835" max="835" width="5" bestFit="1" customWidth="1"/>
    <col min="836" max="836" width="7.6640625" bestFit="1" customWidth="1"/>
    <col min="837" max="837" width="5" bestFit="1" customWidth="1"/>
    <col min="838" max="839" width="7.6640625" bestFit="1" customWidth="1"/>
    <col min="840" max="840" width="5" bestFit="1" customWidth="1"/>
    <col min="841" max="841" width="7.6640625" bestFit="1" customWidth="1"/>
    <col min="842" max="842" width="6" bestFit="1" customWidth="1"/>
    <col min="843" max="843" width="8.6640625" bestFit="1" customWidth="1"/>
    <col min="844" max="844" width="6" bestFit="1" customWidth="1"/>
    <col min="845" max="845" width="8.6640625" bestFit="1" customWidth="1"/>
    <col min="846" max="846" width="7.6640625" bestFit="1" customWidth="1"/>
    <col min="847" max="847" width="6" bestFit="1" customWidth="1"/>
    <col min="848" max="848" width="8.6640625" bestFit="1" customWidth="1"/>
    <col min="849" max="849" width="7.6640625" bestFit="1" customWidth="1"/>
    <col min="850" max="850" width="5" bestFit="1" customWidth="1"/>
    <col min="851" max="851" width="7.6640625" bestFit="1" customWidth="1"/>
    <col min="852" max="852" width="6" bestFit="1" customWidth="1"/>
    <col min="853" max="853" width="8.6640625" bestFit="1" customWidth="1"/>
    <col min="854" max="854" width="7.6640625" bestFit="1" customWidth="1"/>
    <col min="855" max="855" width="5" bestFit="1" customWidth="1"/>
    <col min="856" max="856" width="7.6640625" bestFit="1" customWidth="1"/>
    <col min="857" max="857" width="5" bestFit="1" customWidth="1"/>
    <col min="858" max="858" width="7.6640625" bestFit="1" customWidth="1"/>
    <col min="859" max="859" width="6" bestFit="1" customWidth="1"/>
    <col min="860" max="860" width="8.6640625" bestFit="1" customWidth="1"/>
    <col min="861" max="861" width="7.6640625" bestFit="1" customWidth="1"/>
    <col min="862" max="862" width="6" bestFit="1" customWidth="1"/>
    <col min="863" max="863" width="8.6640625" bestFit="1" customWidth="1"/>
    <col min="864" max="864" width="7.6640625" bestFit="1" customWidth="1"/>
    <col min="865" max="865" width="6" bestFit="1" customWidth="1"/>
    <col min="866" max="866" width="8.6640625" bestFit="1" customWidth="1"/>
    <col min="867" max="867" width="6" bestFit="1" customWidth="1"/>
    <col min="868" max="868" width="8.6640625" bestFit="1" customWidth="1"/>
    <col min="869" max="869" width="7.6640625" bestFit="1" customWidth="1"/>
    <col min="870" max="870" width="6" bestFit="1" customWidth="1"/>
    <col min="871" max="871" width="8.6640625" bestFit="1" customWidth="1"/>
    <col min="872" max="872" width="7.6640625" bestFit="1" customWidth="1"/>
    <col min="873" max="873" width="5" bestFit="1" customWidth="1"/>
    <col min="874" max="875" width="7.6640625" bestFit="1" customWidth="1"/>
    <col min="876" max="876" width="5" bestFit="1" customWidth="1"/>
    <col min="877" max="878" width="7.6640625" bestFit="1" customWidth="1"/>
    <col min="879" max="879" width="9" bestFit="1" customWidth="1"/>
    <col min="880" max="881" width="11.6640625" bestFit="1" customWidth="1"/>
    <col min="882" max="882" width="10.77734375" bestFit="1" customWidth="1"/>
  </cols>
  <sheetData>
    <row r="5" spans="1:3" x14ac:dyDescent="0.3">
      <c r="A5" t="s">
        <v>37</v>
      </c>
      <c r="B5" t="s">
        <v>26</v>
      </c>
      <c r="C5" t="s">
        <v>36</v>
      </c>
    </row>
    <row r="6" spans="1:3" x14ac:dyDescent="0.3">
      <c r="A6" s="4">
        <v>31148</v>
      </c>
      <c r="B6" s="4">
        <v>606</v>
      </c>
      <c r="C6" s="4">
        <v>2746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E179B-3E3E-407C-BBAB-7119690F81CF}">
  <dimension ref="A1:P612"/>
  <sheetViews>
    <sheetView workbookViewId="0">
      <pane ySplit="1" topLeftCell="A2" activePane="bottomLeft" state="frozen"/>
      <selection pane="bottomLeft" activeCell="B1" sqref="B1:B1048576"/>
    </sheetView>
  </sheetViews>
  <sheetFormatPr defaultRowHeight="14.4" x14ac:dyDescent="0.3"/>
  <cols>
    <col min="1" max="1" width="9" bestFit="1" customWidth="1"/>
    <col min="2" max="2" width="10.33203125" bestFit="1" customWidth="1"/>
    <col min="3" max="3" width="9" bestFit="1" customWidth="1"/>
    <col min="4" max="4" width="4.88671875" bestFit="1" customWidth="1"/>
    <col min="5" max="5" width="7.77734375" bestFit="1" customWidth="1"/>
    <col min="6" max="6" width="5" bestFit="1" customWidth="1"/>
    <col min="7" max="7" width="9.44140625" bestFit="1" customWidth="1"/>
    <col min="8" max="8" width="27.33203125" customWidth="1"/>
    <col min="9" max="9" width="12" bestFit="1" customWidth="1"/>
    <col min="10" max="10" width="7.6640625" bestFit="1" customWidth="1"/>
    <col min="11" max="11" width="17.5546875" bestFit="1" customWidth="1"/>
    <col min="12" max="12" width="16" bestFit="1" customWidth="1"/>
    <col min="13" max="13" width="21.33203125" bestFit="1" customWidth="1"/>
    <col min="14" max="14" width="17.33203125" bestFit="1" customWidth="1"/>
    <col min="15" max="15" width="20.5546875" bestFit="1" customWidth="1"/>
    <col min="16" max="16" width="14.6640625" bestFit="1" customWidth="1"/>
  </cols>
  <sheetData>
    <row r="1" spans="1:16" x14ac:dyDescent="0.3">
      <c r="A1" t="s">
        <v>0</v>
      </c>
      <c r="B1" t="s">
        <v>1</v>
      </c>
      <c r="C1" t="s">
        <v>2</v>
      </c>
      <c r="D1" t="s">
        <v>3</v>
      </c>
      <c r="E1" t="s">
        <v>4</v>
      </c>
      <c r="F1" t="s">
        <v>5</v>
      </c>
      <c r="G1" t="s">
        <v>6</v>
      </c>
      <c r="H1" t="s">
        <v>7</v>
      </c>
      <c r="I1" t="s">
        <v>8</v>
      </c>
      <c r="J1" t="s">
        <v>9</v>
      </c>
      <c r="K1" t="s">
        <v>17</v>
      </c>
      <c r="L1" t="s">
        <v>18</v>
      </c>
      <c r="M1" t="s">
        <v>19</v>
      </c>
      <c r="N1" t="s">
        <v>20</v>
      </c>
      <c r="O1" t="s">
        <v>21</v>
      </c>
      <c r="P1" t="s">
        <v>22</v>
      </c>
    </row>
    <row r="2" spans="1:16" x14ac:dyDescent="0.3">
      <c r="A2">
        <v>440</v>
      </c>
      <c r="B2" s="1">
        <v>40563</v>
      </c>
      <c r="C2">
        <v>1</v>
      </c>
      <c r="D2">
        <v>0</v>
      </c>
      <c r="E2">
        <v>1</v>
      </c>
      <c r="F2">
        <v>8</v>
      </c>
      <c r="G2" t="b">
        <v>0</v>
      </c>
      <c r="H2">
        <v>4</v>
      </c>
      <c r="I2">
        <v>1</v>
      </c>
      <c r="J2">
        <v>0.22</v>
      </c>
      <c r="K2">
        <v>0.21210000000000001</v>
      </c>
      <c r="L2">
        <v>0.55000000000000004</v>
      </c>
      <c r="M2">
        <v>0.28360000000000002</v>
      </c>
      <c r="N2">
        <v>2</v>
      </c>
      <c r="O2">
        <v>247</v>
      </c>
      <c r="P2">
        <v>249</v>
      </c>
    </row>
    <row r="3" spans="1:16" x14ac:dyDescent="0.3">
      <c r="A3">
        <v>556</v>
      </c>
      <c r="B3" s="1">
        <v>40568</v>
      </c>
      <c r="C3">
        <v>1</v>
      </c>
      <c r="D3">
        <v>0</v>
      </c>
      <c r="E3">
        <v>1</v>
      </c>
      <c r="F3">
        <v>8</v>
      </c>
      <c r="G3" t="b">
        <v>0</v>
      </c>
      <c r="H3">
        <v>2</v>
      </c>
      <c r="I3">
        <v>2</v>
      </c>
      <c r="J3">
        <v>0.16</v>
      </c>
      <c r="K3">
        <v>0.18179999999999999</v>
      </c>
      <c r="L3">
        <v>0.74</v>
      </c>
      <c r="M3">
        <v>0.1343</v>
      </c>
      <c r="N3">
        <v>5</v>
      </c>
      <c r="O3">
        <v>233</v>
      </c>
      <c r="P3" t="s">
        <v>23</v>
      </c>
    </row>
    <row r="4" spans="1:16" x14ac:dyDescent="0.3">
      <c r="A4">
        <v>566</v>
      </c>
      <c r="B4" s="1">
        <v>40568</v>
      </c>
      <c r="C4">
        <v>1</v>
      </c>
      <c r="D4">
        <v>0</v>
      </c>
      <c r="E4">
        <v>1</v>
      </c>
      <c r="F4">
        <v>18</v>
      </c>
      <c r="G4" t="b">
        <v>0</v>
      </c>
      <c r="H4">
        <v>2</v>
      </c>
      <c r="I4">
        <v>2</v>
      </c>
      <c r="J4">
        <v>0.3</v>
      </c>
      <c r="K4">
        <v>0.31819999999999998</v>
      </c>
      <c r="L4">
        <v>0.49</v>
      </c>
      <c r="M4">
        <v>8.9599999999999999E-2</v>
      </c>
      <c r="N4">
        <v>7</v>
      </c>
      <c r="O4">
        <v>218</v>
      </c>
      <c r="P4">
        <v>225</v>
      </c>
    </row>
    <row r="5" spans="1:16" x14ac:dyDescent="0.3">
      <c r="A5">
        <v>565</v>
      </c>
      <c r="B5" s="1">
        <v>40568</v>
      </c>
      <c r="C5">
        <v>1</v>
      </c>
      <c r="D5">
        <v>0</v>
      </c>
      <c r="E5">
        <v>1</v>
      </c>
      <c r="F5">
        <v>17</v>
      </c>
      <c r="G5" t="b">
        <v>0</v>
      </c>
      <c r="H5">
        <v>2</v>
      </c>
      <c r="I5">
        <v>1</v>
      </c>
      <c r="J5">
        <v>0.3</v>
      </c>
      <c r="K5">
        <v>0.33329999999999999</v>
      </c>
      <c r="L5">
        <v>0.45</v>
      </c>
      <c r="M5">
        <v>0</v>
      </c>
      <c r="N5">
        <v>14</v>
      </c>
      <c r="O5">
        <v>208</v>
      </c>
      <c r="P5">
        <v>222</v>
      </c>
    </row>
    <row r="6" spans="1:16" x14ac:dyDescent="0.3">
      <c r="A6">
        <v>123</v>
      </c>
      <c r="B6" s="1">
        <v>40549</v>
      </c>
      <c r="C6">
        <v>1</v>
      </c>
      <c r="D6">
        <v>0</v>
      </c>
      <c r="E6">
        <v>1</v>
      </c>
      <c r="F6">
        <v>8</v>
      </c>
      <c r="G6" t="b">
        <v>0</v>
      </c>
      <c r="H6">
        <v>4</v>
      </c>
      <c r="I6">
        <v>1</v>
      </c>
      <c r="J6">
        <v>0.16</v>
      </c>
      <c r="K6">
        <v>0.2273</v>
      </c>
      <c r="L6">
        <v>0.59</v>
      </c>
      <c r="M6">
        <v>0</v>
      </c>
      <c r="N6">
        <v>3</v>
      </c>
      <c r="O6">
        <v>216</v>
      </c>
      <c r="P6">
        <v>219</v>
      </c>
    </row>
    <row r="7" spans="1:16" x14ac:dyDescent="0.3">
      <c r="A7">
        <v>240</v>
      </c>
      <c r="B7" s="1">
        <v>40554</v>
      </c>
      <c r="C7">
        <v>1</v>
      </c>
      <c r="D7">
        <v>0</v>
      </c>
      <c r="E7">
        <v>1</v>
      </c>
      <c r="F7">
        <v>8</v>
      </c>
      <c r="G7" t="b">
        <v>0</v>
      </c>
      <c r="H7">
        <v>2</v>
      </c>
      <c r="I7">
        <v>2</v>
      </c>
      <c r="J7">
        <v>0.18</v>
      </c>
      <c r="K7">
        <v>0.21210000000000001</v>
      </c>
      <c r="L7">
        <v>0.51</v>
      </c>
      <c r="M7">
        <v>8.9599999999999999E-2</v>
      </c>
      <c r="N7">
        <v>3</v>
      </c>
      <c r="O7">
        <v>214</v>
      </c>
      <c r="P7">
        <v>217</v>
      </c>
    </row>
    <row r="8" spans="1:16" x14ac:dyDescent="0.3">
      <c r="A8">
        <v>464</v>
      </c>
      <c r="B8" s="1">
        <v>40564</v>
      </c>
      <c r="C8">
        <v>1</v>
      </c>
      <c r="D8">
        <v>0</v>
      </c>
      <c r="E8">
        <v>1</v>
      </c>
      <c r="F8">
        <v>8</v>
      </c>
      <c r="G8" t="b">
        <v>0</v>
      </c>
      <c r="H8">
        <v>5</v>
      </c>
      <c r="I8">
        <v>1</v>
      </c>
      <c r="J8">
        <v>0.2</v>
      </c>
      <c r="K8">
        <v>0.18179999999999999</v>
      </c>
      <c r="L8">
        <v>0.47</v>
      </c>
      <c r="M8">
        <v>0.32840000000000003</v>
      </c>
      <c r="N8">
        <v>7</v>
      </c>
      <c r="O8">
        <v>210</v>
      </c>
      <c r="P8">
        <v>217</v>
      </c>
    </row>
    <row r="9" spans="1:16" x14ac:dyDescent="0.3">
      <c r="A9">
        <v>449</v>
      </c>
      <c r="B9" s="1">
        <v>40563</v>
      </c>
      <c r="C9">
        <v>1</v>
      </c>
      <c r="D9">
        <v>0</v>
      </c>
      <c r="E9">
        <v>1</v>
      </c>
      <c r="F9">
        <v>17</v>
      </c>
      <c r="G9" t="b">
        <v>0</v>
      </c>
      <c r="H9">
        <v>4</v>
      </c>
      <c r="I9">
        <v>2</v>
      </c>
      <c r="J9">
        <v>0.3</v>
      </c>
      <c r="K9">
        <v>0.31819999999999998</v>
      </c>
      <c r="L9">
        <v>0.49</v>
      </c>
      <c r="M9">
        <v>0.1045</v>
      </c>
      <c r="N9">
        <v>8</v>
      </c>
      <c r="O9">
        <v>207</v>
      </c>
      <c r="P9">
        <v>215</v>
      </c>
    </row>
    <row r="10" spans="1:16" x14ac:dyDescent="0.3">
      <c r="A10">
        <v>86</v>
      </c>
      <c r="B10" s="1">
        <v>40547</v>
      </c>
      <c r="C10">
        <v>1</v>
      </c>
      <c r="D10">
        <v>0</v>
      </c>
      <c r="E10">
        <v>1</v>
      </c>
      <c r="F10">
        <v>17</v>
      </c>
      <c r="G10" t="b">
        <v>0</v>
      </c>
      <c r="H10">
        <v>2</v>
      </c>
      <c r="I10">
        <v>1</v>
      </c>
      <c r="J10">
        <v>0.28000000000000003</v>
      </c>
      <c r="K10">
        <v>0.2727</v>
      </c>
      <c r="L10">
        <v>0.48</v>
      </c>
      <c r="M10">
        <v>0.22389999999999999</v>
      </c>
      <c r="N10">
        <v>10</v>
      </c>
      <c r="O10">
        <v>202</v>
      </c>
      <c r="P10">
        <v>212</v>
      </c>
    </row>
    <row r="11" spans="1:16" x14ac:dyDescent="0.3">
      <c r="A11">
        <v>146</v>
      </c>
      <c r="B11" s="1">
        <v>40550</v>
      </c>
      <c r="C11">
        <v>1</v>
      </c>
      <c r="D11">
        <v>0</v>
      </c>
      <c r="E11">
        <v>1</v>
      </c>
      <c r="F11">
        <v>8</v>
      </c>
      <c r="G11" t="b">
        <v>0</v>
      </c>
      <c r="H11">
        <v>5</v>
      </c>
      <c r="I11">
        <v>1</v>
      </c>
      <c r="J11">
        <v>0.2</v>
      </c>
      <c r="K11">
        <v>0.19700000000000001</v>
      </c>
      <c r="L11">
        <v>0.51</v>
      </c>
      <c r="M11">
        <v>0.25369999999999998</v>
      </c>
      <c r="N11">
        <v>20</v>
      </c>
      <c r="O11">
        <v>190</v>
      </c>
      <c r="P11">
        <v>210</v>
      </c>
    </row>
    <row r="12" spans="1:16" x14ac:dyDescent="0.3">
      <c r="A12">
        <v>286</v>
      </c>
      <c r="B12" s="1">
        <v>40556</v>
      </c>
      <c r="C12">
        <v>1</v>
      </c>
      <c r="D12">
        <v>0</v>
      </c>
      <c r="E12">
        <v>1</v>
      </c>
      <c r="F12">
        <v>8</v>
      </c>
      <c r="G12" t="b">
        <v>0</v>
      </c>
      <c r="H12">
        <v>4</v>
      </c>
      <c r="I12">
        <v>1</v>
      </c>
      <c r="J12">
        <v>0.14000000000000001</v>
      </c>
      <c r="K12">
        <v>0.13639999999999999</v>
      </c>
      <c r="L12">
        <v>0.5</v>
      </c>
      <c r="M12">
        <v>0.19400000000000001</v>
      </c>
      <c r="N12">
        <v>5</v>
      </c>
      <c r="O12">
        <v>197</v>
      </c>
      <c r="P12">
        <v>202</v>
      </c>
    </row>
    <row r="13" spans="1:16" x14ac:dyDescent="0.3">
      <c r="A13">
        <v>416</v>
      </c>
      <c r="B13" s="1">
        <v>40562</v>
      </c>
      <c r="C13">
        <v>1</v>
      </c>
      <c r="D13">
        <v>0</v>
      </c>
      <c r="E13">
        <v>1</v>
      </c>
      <c r="F13">
        <v>8</v>
      </c>
      <c r="G13" t="b">
        <v>0</v>
      </c>
      <c r="H13">
        <v>3</v>
      </c>
      <c r="I13">
        <v>2</v>
      </c>
      <c r="J13">
        <v>0.24</v>
      </c>
      <c r="K13">
        <v>0.2576</v>
      </c>
      <c r="L13">
        <v>0.93</v>
      </c>
      <c r="M13">
        <v>0.1045</v>
      </c>
      <c r="N13">
        <v>1</v>
      </c>
      <c r="O13">
        <v>196</v>
      </c>
      <c r="P13">
        <v>197</v>
      </c>
    </row>
    <row r="14" spans="1:16" x14ac:dyDescent="0.3">
      <c r="A14">
        <v>425</v>
      </c>
      <c r="B14" s="1">
        <v>40562</v>
      </c>
      <c r="C14">
        <v>1</v>
      </c>
      <c r="D14">
        <v>0</v>
      </c>
      <c r="E14">
        <v>1</v>
      </c>
      <c r="F14">
        <v>17</v>
      </c>
      <c r="G14" t="b">
        <v>0</v>
      </c>
      <c r="H14">
        <v>3</v>
      </c>
      <c r="I14">
        <v>1</v>
      </c>
      <c r="J14">
        <v>0.36</v>
      </c>
      <c r="K14">
        <v>0.33329999999999999</v>
      </c>
      <c r="L14">
        <v>0.56999999999999995</v>
      </c>
      <c r="M14">
        <v>0.32840000000000003</v>
      </c>
      <c r="N14">
        <v>7</v>
      </c>
      <c r="O14">
        <v>190</v>
      </c>
      <c r="P14">
        <v>197</v>
      </c>
    </row>
    <row r="15" spans="1:16" x14ac:dyDescent="0.3">
      <c r="A15">
        <v>100</v>
      </c>
      <c r="B15" s="1">
        <v>40548</v>
      </c>
      <c r="C15">
        <v>1</v>
      </c>
      <c r="D15">
        <v>0</v>
      </c>
      <c r="E15">
        <v>1</v>
      </c>
      <c r="F15">
        <v>8</v>
      </c>
      <c r="G15" t="b">
        <v>0</v>
      </c>
      <c r="H15">
        <v>3</v>
      </c>
      <c r="I15">
        <v>1</v>
      </c>
      <c r="J15">
        <v>0.2</v>
      </c>
      <c r="K15">
        <v>0.18179999999999999</v>
      </c>
      <c r="L15">
        <v>0.4</v>
      </c>
      <c r="M15">
        <v>0.29849999999999999</v>
      </c>
      <c r="N15">
        <v>3</v>
      </c>
      <c r="O15">
        <v>192</v>
      </c>
      <c r="P15">
        <v>195</v>
      </c>
    </row>
    <row r="16" spans="1:16" x14ac:dyDescent="0.3">
      <c r="A16">
        <v>109</v>
      </c>
      <c r="B16" s="1">
        <v>40548</v>
      </c>
      <c r="C16">
        <v>1</v>
      </c>
      <c r="D16">
        <v>0</v>
      </c>
      <c r="E16">
        <v>1</v>
      </c>
      <c r="F16">
        <v>17</v>
      </c>
      <c r="G16" t="b">
        <v>0</v>
      </c>
      <c r="H16">
        <v>3</v>
      </c>
      <c r="I16">
        <v>1</v>
      </c>
      <c r="J16">
        <v>0.24</v>
      </c>
      <c r="K16">
        <v>0.2273</v>
      </c>
      <c r="L16">
        <v>0.38</v>
      </c>
      <c r="M16">
        <v>0.19400000000000001</v>
      </c>
      <c r="N16">
        <v>4</v>
      </c>
      <c r="O16">
        <v>186</v>
      </c>
      <c r="P16">
        <v>190</v>
      </c>
    </row>
    <row r="17" spans="1:16" x14ac:dyDescent="0.3">
      <c r="A17">
        <v>218</v>
      </c>
      <c r="B17" s="1">
        <v>40553</v>
      </c>
      <c r="C17">
        <v>1</v>
      </c>
      <c r="D17">
        <v>0</v>
      </c>
      <c r="E17">
        <v>1</v>
      </c>
      <c r="F17">
        <v>8</v>
      </c>
      <c r="G17" t="b">
        <v>0</v>
      </c>
      <c r="H17">
        <v>1</v>
      </c>
      <c r="I17">
        <v>2</v>
      </c>
      <c r="J17">
        <v>0.12</v>
      </c>
      <c r="K17">
        <v>0.1212</v>
      </c>
      <c r="L17">
        <v>0.5</v>
      </c>
      <c r="M17">
        <v>0.28360000000000002</v>
      </c>
      <c r="N17">
        <v>4</v>
      </c>
      <c r="O17">
        <v>184</v>
      </c>
      <c r="P17">
        <v>188</v>
      </c>
    </row>
    <row r="18" spans="1:16" x14ac:dyDescent="0.3">
      <c r="A18">
        <v>155</v>
      </c>
      <c r="B18" s="1">
        <v>40550</v>
      </c>
      <c r="C18">
        <v>1</v>
      </c>
      <c r="D18">
        <v>0</v>
      </c>
      <c r="E18">
        <v>1</v>
      </c>
      <c r="F18">
        <v>17</v>
      </c>
      <c r="G18" t="b">
        <v>0</v>
      </c>
      <c r="H18">
        <v>5</v>
      </c>
      <c r="I18">
        <v>2</v>
      </c>
      <c r="J18">
        <v>0.2</v>
      </c>
      <c r="K18">
        <v>0.2576</v>
      </c>
      <c r="L18">
        <v>0.37</v>
      </c>
      <c r="M18">
        <v>0</v>
      </c>
      <c r="N18">
        <v>9</v>
      </c>
      <c r="O18">
        <v>178</v>
      </c>
      <c r="P18">
        <v>187</v>
      </c>
    </row>
    <row r="19" spans="1:16" x14ac:dyDescent="0.3">
      <c r="A19">
        <v>450</v>
      </c>
      <c r="B19" s="1">
        <v>40563</v>
      </c>
      <c r="C19">
        <v>1</v>
      </c>
      <c r="D19">
        <v>0</v>
      </c>
      <c r="E19">
        <v>1</v>
      </c>
      <c r="F19">
        <v>18</v>
      </c>
      <c r="G19" t="b">
        <v>0</v>
      </c>
      <c r="H19">
        <v>4</v>
      </c>
      <c r="I19">
        <v>2</v>
      </c>
      <c r="J19">
        <v>0.26</v>
      </c>
      <c r="K19">
        <v>0.2576</v>
      </c>
      <c r="L19">
        <v>0.56000000000000005</v>
      </c>
      <c r="M19">
        <v>0.19400000000000001</v>
      </c>
      <c r="N19">
        <v>1</v>
      </c>
      <c r="O19">
        <v>184</v>
      </c>
      <c r="P19">
        <v>185</v>
      </c>
    </row>
    <row r="20" spans="1:16" x14ac:dyDescent="0.3">
      <c r="A20">
        <v>542</v>
      </c>
      <c r="B20" s="1">
        <v>40567</v>
      </c>
      <c r="C20">
        <v>1</v>
      </c>
      <c r="D20">
        <v>0</v>
      </c>
      <c r="E20">
        <v>1</v>
      </c>
      <c r="F20">
        <v>17</v>
      </c>
      <c r="G20" t="b">
        <v>0</v>
      </c>
      <c r="H20">
        <v>1</v>
      </c>
      <c r="I20">
        <v>1</v>
      </c>
      <c r="J20">
        <v>0.14000000000000001</v>
      </c>
      <c r="K20">
        <v>0.1212</v>
      </c>
      <c r="L20">
        <v>0.5</v>
      </c>
      <c r="M20">
        <v>0.25369999999999998</v>
      </c>
      <c r="N20">
        <v>6</v>
      </c>
      <c r="O20">
        <v>178</v>
      </c>
      <c r="P20">
        <v>184</v>
      </c>
    </row>
    <row r="21" spans="1:16" x14ac:dyDescent="0.3">
      <c r="A21">
        <v>87</v>
      </c>
      <c r="B21" s="1">
        <v>40547</v>
      </c>
      <c r="C21">
        <v>1</v>
      </c>
      <c r="D21">
        <v>0</v>
      </c>
      <c r="E21">
        <v>1</v>
      </c>
      <c r="F21">
        <v>18</v>
      </c>
      <c r="G21" t="b">
        <v>0</v>
      </c>
      <c r="H21">
        <v>2</v>
      </c>
      <c r="I21">
        <v>1</v>
      </c>
      <c r="J21">
        <v>0.26</v>
      </c>
      <c r="K21">
        <v>0.2576</v>
      </c>
      <c r="L21">
        <v>0.48</v>
      </c>
      <c r="M21">
        <v>0.19400000000000001</v>
      </c>
      <c r="N21">
        <v>3</v>
      </c>
      <c r="O21">
        <v>179</v>
      </c>
      <c r="P21">
        <v>182</v>
      </c>
    </row>
    <row r="22" spans="1:16" x14ac:dyDescent="0.3">
      <c r="A22">
        <v>77</v>
      </c>
      <c r="B22" s="1">
        <v>40547</v>
      </c>
      <c r="C22">
        <v>1</v>
      </c>
      <c r="D22">
        <v>0</v>
      </c>
      <c r="E22">
        <v>1</v>
      </c>
      <c r="F22">
        <v>8</v>
      </c>
      <c r="G22" t="b">
        <v>0</v>
      </c>
      <c r="H22">
        <v>2</v>
      </c>
      <c r="I22">
        <v>1</v>
      </c>
      <c r="J22">
        <v>0.14000000000000001</v>
      </c>
      <c r="K22">
        <v>0.1515</v>
      </c>
      <c r="L22">
        <v>0.69</v>
      </c>
      <c r="M22">
        <v>0.16420000000000001</v>
      </c>
      <c r="N22">
        <v>2</v>
      </c>
      <c r="O22">
        <v>177</v>
      </c>
      <c r="P22">
        <v>179</v>
      </c>
    </row>
    <row r="23" spans="1:16" x14ac:dyDescent="0.3">
      <c r="A23">
        <v>227</v>
      </c>
      <c r="B23" s="1">
        <v>40553</v>
      </c>
      <c r="C23">
        <v>1</v>
      </c>
      <c r="D23">
        <v>0</v>
      </c>
      <c r="E23">
        <v>1</v>
      </c>
      <c r="F23">
        <v>17</v>
      </c>
      <c r="G23" t="b">
        <v>0</v>
      </c>
      <c r="H23">
        <v>1</v>
      </c>
      <c r="I23">
        <v>1</v>
      </c>
      <c r="J23">
        <v>0.2</v>
      </c>
      <c r="K23">
        <v>0.2273</v>
      </c>
      <c r="L23">
        <v>0.4</v>
      </c>
      <c r="M23">
        <v>0.1045</v>
      </c>
      <c r="N23">
        <v>4</v>
      </c>
      <c r="O23">
        <v>174</v>
      </c>
      <c r="P23">
        <v>178</v>
      </c>
    </row>
    <row r="24" spans="1:16" x14ac:dyDescent="0.3">
      <c r="A24">
        <v>533</v>
      </c>
      <c r="B24" s="1">
        <v>40567</v>
      </c>
      <c r="C24">
        <v>1</v>
      </c>
      <c r="D24">
        <v>0</v>
      </c>
      <c r="E24">
        <v>1</v>
      </c>
      <c r="F24">
        <v>8</v>
      </c>
      <c r="G24" t="b">
        <v>0</v>
      </c>
      <c r="H24">
        <v>1</v>
      </c>
      <c r="I24">
        <v>1</v>
      </c>
      <c r="J24">
        <v>0.04</v>
      </c>
      <c r="K24">
        <v>0.13639999999999999</v>
      </c>
      <c r="L24">
        <v>0.49</v>
      </c>
      <c r="M24">
        <v>0</v>
      </c>
      <c r="N24">
        <v>6</v>
      </c>
      <c r="O24">
        <v>171</v>
      </c>
      <c r="P24">
        <v>177</v>
      </c>
    </row>
    <row r="25" spans="1:16" x14ac:dyDescent="0.3">
      <c r="A25">
        <v>132</v>
      </c>
      <c r="B25" s="1">
        <v>40549</v>
      </c>
      <c r="C25">
        <v>1</v>
      </c>
      <c r="D25">
        <v>0</v>
      </c>
      <c r="E25">
        <v>1</v>
      </c>
      <c r="F25">
        <v>17</v>
      </c>
      <c r="G25" t="b">
        <v>0</v>
      </c>
      <c r="H25">
        <v>4</v>
      </c>
      <c r="I25">
        <v>1</v>
      </c>
      <c r="J25">
        <v>0.22</v>
      </c>
      <c r="K25">
        <v>0.2273</v>
      </c>
      <c r="L25">
        <v>0.51</v>
      </c>
      <c r="M25">
        <v>0.16420000000000001</v>
      </c>
      <c r="N25">
        <v>9</v>
      </c>
      <c r="O25">
        <v>163</v>
      </c>
      <c r="P25">
        <v>172</v>
      </c>
    </row>
    <row r="26" spans="1:16" x14ac:dyDescent="0.3">
      <c r="A26">
        <v>110</v>
      </c>
      <c r="B26" s="1">
        <v>40548</v>
      </c>
      <c r="C26">
        <v>1</v>
      </c>
      <c r="D26">
        <v>0</v>
      </c>
      <c r="E26">
        <v>1</v>
      </c>
      <c r="F26">
        <v>18</v>
      </c>
      <c r="G26" t="b">
        <v>0</v>
      </c>
      <c r="H26">
        <v>3</v>
      </c>
      <c r="I26">
        <v>1</v>
      </c>
      <c r="J26">
        <v>0.24</v>
      </c>
      <c r="K26">
        <v>0.2424</v>
      </c>
      <c r="L26">
        <v>0.38</v>
      </c>
      <c r="M26">
        <v>0.1343</v>
      </c>
      <c r="N26">
        <v>3</v>
      </c>
      <c r="O26">
        <v>166</v>
      </c>
      <c r="P26">
        <v>169</v>
      </c>
    </row>
    <row r="27" spans="1:16" x14ac:dyDescent="0.3">
      <c r="A27">
        <v>465</v>
      </c>
      <c r="B27" s="1">
        <v>40564</v>
      </c>
      <c r="C27">
        <v>1</v>
      </c>
      <c r="D27">
        <v>0</v>
      </c>
      <c r="E27">
        <v>1</v>
      </c>
      <c r="F27">
        <v>9</v>
      </c>
      <c r="G27" t="b">
        <v>0</v>
      </c>
      <c r="H27">
        <v>5</v>
      </c>
      <c r="I27">
        <v>1</v>
      </c>
      <c r="J27">
        <v>0.2</v>
      </c>
      <c r="K27">
        <v>0.18179999999999999</v>
      </c>
      <c r="L27">
        <v>0.51</v>
      </c>
      <c r="M27">
        <v>0.35820000000000002</v>
      </c>
      <c r="N27">
        <v>7</v>
      </c>
      <c r="O27">
        <v>159</v>
      </c>
      <c r="P27">
        <v>166</v>
      </c>
    </row>
    <row r="28" spans="1:16" x14ac:dyDescent="0.3">
      <c r="A28">
        <v>133</v>
      </c>
      <c r="B28" s="1">
        <v>40549</v>
      </c>
      <c r="C28">
        <v>1</v>
      </c>
      <c r="D28">
        <v>0</v>
      </c>
      <c r="E28">
        <v>1</v>
      </c>
      <c r="F28">
        <v>18</v>
      </c>
      <c r="G28" t="b">
        <v>0</v>
      </c>
      <c r="H28">
        <v>4</v>
      </c>
      <c r="I28">
        <v>1</v>
      </c>
      <c r="J28">
        <v>0.22</v>
      </c>
      <c r="K28">
        <v>0.2273</v>
      </c>
      <c r="L28">
        <v>0.51</v>
      </c>
      <c r="M28">
        <v>0.1343</v>
      </c>
      <c r="N28">
        <v>5</v>
      </c>
      <c r="O28">
        <v>158</v>
      </c>
      <c r="P28">
        <v>163</v>
      </c>
    </row>
    <row r="29" spans="1:16" x14ac:dyDescent="0.3">
      <c r="A29">
        <v>295</v>
      </c>
      <c r="B29" s="1">
        <v>40556</v>
      </c>
      <c r="C29">
        <v>1</v>
      </c>
      <c r="D29">
        <v>0</v>
      </c>
      <c r="E29">
        <v>1</v>
      </c>
      <c r="F29">
        <v>17</v>
      </c>
      <c r="G29" t="b">
        <v>0</v>
      </c>
      <c r="H29">
        <v>4</v>
      </c>
      <c r="I29">
        <v>1</v>
      </c>
      <c r="J29">
        <v>0.2</v>
      </c>
      <c r="K29">
        <v>0.18179999999999999</v>
      </c>
      <c r="L29">
        <v>0.4</v>
      </c>
      <c r="M29">
        <v>0.28360000000000002</v>
      </c>
      <c r="N29">
        <v>4</v>
      </c>
      <c r="O29">
        <v>158</v>
      </c>
      <c r="P29">
        <v>162</v>
      </c>
    </row>
    <row r="30" spans="1:16" x14ac:dyDescent="0.3">
      <c r="A30">
        <v>426</v>
      </c>
      <c r="B30" s="1">
        <v>40562</v>
      </c>
      <c r="C30">
        <v>1</v>
      </c>
      <c r="D30">
        <v>0</v>
      </c>
      <c r="E30">
        <v>1</v>
      </c>
      <c r="F30">
        <v>18</v>
      </c>
      <c r="G30" t="b">
        <v>0</v>
      </c>
      <c r="H30">
        <v>3</v>
      </c>
      <c r="I30">
        <v>1</v>
      </c>
      <c r="J30">
        <v>0.34</v>
      </c>
      <c r="K30">
        <v>0.31819999999999998</v>
      </c>
      <c r="L30">
        <v>0.61</v>
      </c>
      <c r="M30">
        <v>0.28360000000000002</v>
      </c>
      <c r="N30">
        <v>5</v>
      </c>
      <c r="O30">
        <v>156</v>
      </c>
      <c r="P30">
        <v>161</v>
      </c>
    </row>
    <row r="31" spans="1:16" x14ac:dyDescent="0.3">
      <c r="A31">
        <v>473</v>
      </c>
      <c r="B31" s="1">
        <v>40564</v>
      </c>
      <c r="C31">
        <v>1</v>
      </c>
      <c r="D31">
        <v>0</v>
      </c>
      <c r="E31">
        <v>1</v>
      </c>
      <c r="F31">
        <v>17</v>
      </c>
      <c r="G31" t="b">
        <v>0</v>
      </c>
      <c r="H31">
        <v>5</v>
      </c>
      <c r="I31">
        <v>1</v>
      </c>
      <c r="J31">
        <v>0.14000000000000001</v>
      </c>
      <c r="K31">
        <v>0.1212</v>
      </c>
      <c r="L31">
        <v>0.28000000000000003</v>
      </c>
      <c r="M31">
        <v>0.35820000000000002</v>
      </c>
      <c r="N31">
        <v>10</v>
      </c>
      <c r="O31">
        <v>151</v>
      </c>
      <c r="P31">
        <v>161</v>
      </c>
    </row>
    <row r="32" spans="1:16" x14ac:dyDescent="0.3">
      <c r="A32">
        <v>318</v>
      </c>
      <c r="B32" s="1">
        <v>40557</v>
      </c>
      <c r="C32">
        <v>1</v>
      </c>
      <c r="D32">
        <v>0</v>
      </c>
      <c r="E32">
        <v>1</v>
      </c>
      <c r="F32">
        <v>17</v>
      </c>
      <c r="G32" t="b">
        <v>0</v>
      </c>
      <c r="H32">
        <v>5</v>
      </c>
      <c r="I32">
        <v>1</v>
      </c>
      <c r="J32">
        <v>0.22</v>
      </c>
      <c r="K32">
        <v>0.2273</v>
      </c>
      <c r="L32">
        <v>0.41</v>
      </c>
      <c r="M32">
        <v>0.16420000000000001</v>
      </c>
      <c r="N32">
        <v>4</v>
      </c>
      <c r="O32">
        <v>155</v>
      </c>
      <c r="P32">
        <v>159</v>
      </c>
    </row>
    <row r="33" spans="1:16" x14ac:dyDescent="0.3">
      <c r="A33">
        <v>309</v>
      </c>
      <c r="B33" s="1">
        <v>40557</v>
      </c>
      <c r="C33">
        <v>1</v>
      </c>
      <c r="D33">
        <v>0</v>
      </c>
      <c r="E33">
        <v>1</v>
      </c>
      <c r="F33">
        <v>8</v>
      </c>
      <c r="G33" t="b">
        <v>0</v>
      </c>
      <c r="H33">
        <v>5</v>
      </c>
      <c r="I33">
        <v>1</v>
      </c>
      <c r="J33">
        <v>0.12</v>
      </c>
      <c r="K33">
        <v>0.16669999999999999</v>
      </c>
      <c r="L33">
        <v>0.68</v>
      </c>
      <c r="M33">
        <v>0</v>
      </c>
      <c r="N33">
        <v>2</v>
      </c>
      <c r="O33">
        <v>156</v>
      </c>
      <c r="P33">
        <v>158</v>
      </c>
    </row>
    <row r="34" spans="1:16" x14ac:dyDescent="0.3">
      <c r="A34">
        <v>63</v>
      </c>
      <c r="B34" s="1">
        <v>40546</v>
      </c>
      <c r="C34">
        <v>1</v>
      </c>
      <c r="D34">
        <v>0</v>
      </c>
      <c r="E34">
        <v>1</v>
      </c>
      <c r="F34">
        <v>17</v>
      </c>
      <c r="G34" t="b">
        <v>0</v>
      </c>
      <c r="H34">
        <v>1</v>
      </c>
      <c r="I34">
        <v>1</v>
      </c>
      <c r="J34">
        <v>0.24</v>
      </c>
      <c r="K34">
        <v>0.2273</v>
      </c>
      <c r="L34">
        <v>0.3</v>
      </c>
      <c r="M34">
        <v>0.22389999999999999</v>
      </c>
      <c r="N34">
        <v>11</v>
      </c>
      <c r="O34">
        <v>146</v>
      </c>
      <c r="P34">
        <v>157</v>
      </c>
    </row>
    <row r="35" spans="1:16" x14ac:dyDescent="0.3">
      <c r="A35">
        <v>64</v>
      </c>
      <c r="B35" s="1">
        <v>40546</v>
      </c>
      <c r="C35">
        <v>1</v>
      </c>
      <c r="D35">
        <v>0</v>
      </c>
      <c r="E35">
        <v>1</v>
      </c>
      <c r="F35">
        <v>18</v>
      </c>
      <c r="G35" t="b">
        <v>0</v>
      </c>
      <c r="H35">
        <v>1</v>
      </c>
      <c r="I35">
        <v>1</v>
      </c>
      <c r="J35">
        <v>0.24</v>
      </c>
      <c r="K35">
        <v>0.2576</v>
      </c>
      <c r="L35">
        <v>0.32</v>
      </c>
      <c r="M35">
        <v>0.1045</v>
      </c>
      <c r="N35">
        <v>9</v>
      </c>
      <c r="O35">
        <v>148</v>
      </c>
      <c r="P35">
        <v>157</v>
      </c>
    </row>
    <row r="36" spans="1:16" x14ac:dyDescent="0.3">
      <c r="A36">
        <v>603</v>
      </c>
      <c r="B36" s="1">
        <v>40571</v>
      </c>
      <c r="C36">
        <v>1</v>
      </c>
      <c r="D36">
        <v>0</v>
      </c>
      <c r="E36">
        <v>1</v>
      </c>
      <c r="F36">
        <v>8</v>
      </c>
      <c r="G36" t="b">
        <v>0</v>
      </c>
      <c r="H36">
        <v>5</v>
      </c>
      <c r="I36">
        <v>2</v>
      </c>
      <c r="J36">
        <v>0.16</v>
      </c>
      <c r="K36">
        <v>0.19700000000000001</v>
      </c>
      <c r="L36">
        <v>0.86</v>
      </c>
      <c r="M36">
        <v>8.9599999999999999E-2</v>
      </c>
      <c r="N36">
        <v>2</v>
      </c>
      <c r="O36">
        <v>155</v>
      </c>
      <c r="P36">
        <v>157</v>
      </c>
    </row>
    <row r="37" spans="1:16" x14ac:dyDescent="0.3">
      <c r="A37">
        <v>228</v>
      </c>
      <c r="B37" s="1">
        <v>40553</v>
      </c>
      <c r="C37">
        <v>1</v>
      </c>
      <c r="D37">
        <v>0</v>
      </c>
      <c r="E37">
        <v>1</v>
      </c>
      <c r="F37">
        <v>18</v>
      </c>
      <c r="G37" t="b">
        <v>0</v>
      </c>
      <c r="H37">
        <v>1</v>
      </c>
      <c r="I37">
        <v>1</v>
      </c>
      <c r="J37">
        <v>0.2</v>
      </c>
      <c r="K37">
        <v>0.19700000000000001</v>
      </c>
      <c r="L37">
        <v>0.4</v>
      </c>
      <c r="M37">
        <v>0.22389999999999999</v>
      </c>
      <c r="N37">
        <v>1</v>
      </c>
      <c r="O37">
        <v>154</v>
      </c>
      <c r="P37">
        <v>155</v>
      </c>
    </row>
    <row r="38" spans="1:16" x14ac:dyDescent="0.3">
      <c r="A38">
        <v>54</v>
      </c>
      <c r="B38" s="1">
        <v>40546</v>
      </c>
      <c r="C38">
        <v>1</v>
      </c>
      <c r="D38">
        <v>0</v>
      </c>
      <c r="E38">
        <v>1</v>
      </c>
      <c r="F38">
        <v>8</v>
      </c>
      <c r="G38" t="b">
        <v>0</v>
      </c>
      <c r="H38">
        <v>1</v>
      </c>
      <c r="I38">
        <v>1</v>
      </c>
      <c r="J38">
        <v>0.14000000000000001</v>
      </c>
      <c r="K38">
        <v>0.1212</v>
      </c>
      <c r="L38">
        <v>0.5</v>
      </c>
      <c r="M38">
        <v>0.28360000000000002</v>
      </c>
      <c r="N38">
        <v>1</v>
      </c>
      <c r="O38">
        <v>153</v>
      </c>
      <c r="P38">
        <v>154</v>
      </c>
    </row>
    <row r="39" spans="1:16" x14ac:dyDescent="0.3">
      <c r="A39">
        <v>543</v>
      </c>
      <c r="B39" s="1">
        <v>40567</v>
      </c>
      <c r="C39">
        <v>1</v>
      </c>
      <c r="D39">
        <v>0</v>
      </c>
      <c r="E39">
        <v>1</v>
      </c>
      <c r="F39">
        <v>18</v>
      </c>
      <c r="G39" t="b">
        <v>0</v>
      </c>
      <c r="H39">
        <v>1</v>
      </c>
      <c r="I39">
        <v>1</v>
      </c>
      <c r="J39">
        <v>0.14000000000000001</v>
      </c>
      <c r="K39">
        <v>0.13639999999999999</v>
      </c>
      <c r="L39">
        <v>0.59</v>
      </c>
      <c r="M39">
        <v>0.19400000000000001</v>
      </c>
      <c r="N39">
        <v>8</v>
      </c>
      <c r="O39">
        <v>145</v>
      </c>
      <c r="P39">
        <v>153</v>
      </c>
    </row>
    <row r="40" spans="1:16" x14ac:dyDescent="0.3">
      <c r="A40">
        <v>451</v>
      </c>
      <c r="B40" s="1">
        <v>40563</v>
      </c>
      <c r="C40">
        <v>1</v>
      </c>
      <c r="D40">
        <v>0</v>
      </c>
      <c r="E40">
        <v>1</v>
      </c>
      <c r="F40">
        <v>19</v>
      </c>
      <c r="G40" t="b">
        <v>0</v>
      </c>
      <c r="H40">
        <v>4</v>
      </c>
      <c r="I40">
        <v>1</v>
      </c>
      <c r="J40">
        <v>0.26</v>
      </c>
      <c r="K40">
        <v>0.2273</v>
      </c>
      <c r="L40">
        <v>0.56000000000000005</v>
      </c>
      <c r="M40">
        <v>0.32840000000000003</v>
      </c>
      <c r="N40">
        <v>6</v>
      </c>
      <c r="O40">
        <v>146</v>
      </c>
      <c r="P40">
        <v>152</v>
      </c>
    </row>
    <row r="41" spans="1:16" x14ac:dyDescent="0.3">
      <c r="A41">
        <v>567</v>
      </c>
      <c r="B41" s="1">
        <v>40568</v>
      </c>
      <c r="C41">
        <v>1</v>
      </c>
      <c r="D41">
        <v>0</v>
      </c>
      <c r="E41">
        <v>1</v>
      </c>
      <c r="F41">
        <v>19</v>
      </c>
      <c r="G41" t="b">
        <v>0</v>
      </c>
      <c r="H41">
        <v>2</v>
      </c>
      <c r="I41">
        <v>2</v>
      </c>
      <c r="J41">
        <v>0.26</v>
      </c>
      <c r="K41">
        <v>0.2576</v>
      </c>
      <c r="L41">
        <v>0.65</v>
      </c>
      <c r="M41">
        <v>0.16420000000000001</v>
      </c>
      <c r="N41">
        <v>13</v>
      </c>
      <c r="O41">
        <v>133</v>
      </c>
      <c r="P41">
        <v>146</v>
      </c>
    </row>
    <row r="42" spans="1:16" x14ac:dyDescent="0.3">
      <c r="A42">
        <v>296</v>
      </c>
      <c r="B42" s="1">
        <v>40556</v>
      </c>
      <c r="C42">
        <v>1</v>
      </c>
      <c r="D42">
        <v>0</v>
      </c>
      <c r="E42">
        <v>1</v>
      </c>
      <c r="F42">
        <v>18</v>
      </c>
      <c r="G42" t="b">
        <v>0</v>
      </c>
      <c r="H42">
        <v>4</v>
      </c>
      <c r="I42">
        <v>1</v>
      </c>
      <c r="J42">
        <v>0.2</v>
      </c>
      <c r="K42">
        <v>0.18179999999999999</v>
      </c>
      <c r="L42">
        <v>0.4</v>
      </c>
      <c r="M42">
        <v>0.32840000000000003</v>
      </c>
      <c r="N42">
        <v>3</v>
      </c>
      <c r="O42">
        <v>141</v>
      </c>
      <c r="P42">
        <v>144</v>
      </c>
    </row>
    <row r="43" spans="1:16" x14ac:dyDescent="0.3">
      <c r="A43">
        <v>557</v>
      </c>
      <c r="B43" s="1">
        <v>40568</v>
      </c>
      <c r="C43">
        <v>1</v>
      </c>
      <c r="D43">
        <v>0</v>
      </c>
      <c r="E43">
        <v>1</v>
      </c>
      <c r="F43">
        <v>9</v>
      </c>
      <c r="G43" t="b">
        <v>0</v>
      </c>
      <c r="H43">
        <v>2</v>
      </c>
      <c r="I43">
        <v>2</v>
      </c>
      <c r="J43">
        <v>0.2</v>
      </c>
      <c r="K43">
        <v>0.2273</v>
      </c>
      <c r="L43">
        <v>0.64</v>
      </c>
      <c r="M43">
        <v>8.9599999999999999E-2</v>
      </c>
      <c r="N43">
        <v>10</v>
      </c>
      <c r="O43">
        <v>134</v>
      </c>
      <c r="P43">
        <v>144</v>
      </c>
    </row>
    <row r="44" spans="1:16" x14ac:dyDescent="0.3">
      <c r="A44">
        <v>441</v>
      </c>
      <c r="B44" s="1">
        <v>40563</v>
      </c>
      <c r="C44">
        <v>1</v>
      </c>
      <c r="D44">
        <v>0</v>
      </c>
      <c r="E44">
        <v>1</v>
      </c>
      <c r="F44">
        <v>9</v>
      </c>
      <c r="G44" t="b">
        <v>0</v>
      </c>
      <c r="H44">
        <v>4</v>
      </c>
      <c r="I44">
        <v>2</v>
      </c>
      <c r="J44">
        <v>0.24</v>
      </c>
      <c r="K44">
        <v>0.2273</v>
      </c>
      <c r="L44">
        <v>0.52</v>
      </c>
      <c r="M44">
        <v>0.22389999999999999</v>
      </c>
      <c r="N44">
        <v>3</v>
      </c>
      <c r="O44">
        <v>140</v>
      </c>
      <c r="P44">
        <v>143</v>
      </c>
    </row>
    <row r="45" spans="1:16" x14ac:dyDescent="0.3">
      <c r="A45">
        <v>271</v>
      </c>
      <c r="B45" s="1">
        <v>40555</v>
      </c>
      <c r="C45">
        <v>1</v>
      </c>
      <c r="D45">
        <v>0</v>
      </c>
      <c r="E45">
        <v>1</v>
      </c>
      <c r="F45">
        <v>17</v>
      </c>
      <c r="G45" t="b">
        <v>0</v>
      </c>
      <c r="H45">
        <v>3</v>
      </c>
      <c r="I45">
        <v>1</v>
      </c>
      <c r="J45">
        <v>0.2</v>
      </c>
      <c r="K45">
        <v>0.18179999999999999</v>
      </c>
      <c r="L45">
        <v>0.47</v>
      </c>
      <c r="M45">
        <v>0.35820000000000002</v>
      </c>
      <c r="N45">
        <v>0</v>
      </c>
      <c r="O45">
        <v>139</v>
      </c>
      <c r="P45">
        <v>139</v>
      </c>
    </row>
    <row r="46" spans="1:16" x14ac:dyDescent="0.3">
      <c r="A46">
        <v>287</v>
      </c>
      <c r="B46" s="1">
        <v>40556</v>
      </c>
      <c r="C46">
        <v>1</v>
      </c>
      <c r="D46">
        <v>0</v>
      </c>
      <c r="E46">
        <v>1</v>
      </c>
      <c r="F46">
        <v>9</v>
      </c>
      <c r="G46" t="b">
        <v>0</v>
      </c>
      <c r="H46">
        <v>4</v>
      </c>
      <c r="I46">
        <v>1</v>
      </c>
      <c r="J46">
        <v>0.14000000000000001</v>
      </c>
      <c r="K46">
        <v>0.1212</v>
      </c>
      <c r="L46">
        <v>0.5</v>
      </c>
      <c r="M46">
        <v>0.32840000000000003</v>
      </c>
      <c r="N46">
        <v>2</v>
      </c>
      <c r="O46">
        <v>137</v>
      </c>
      <c r="P46">
        <v>139</v>
      </c>
    </row>
    <row r="47" spans="1:16" x14ac:dyDescent="0.3">
      <c r="A47">
        <v>319</v>
      </c>
      <c r="B47" s="1">
        <v>40557</v>
      </c>
      <c r="C47">
        <v>1</v>
      </c>
      <c r="D47">
        <v>0</v>
      </c>
      <c r="E47">
        <v>1</v>
      </c>
      <c r="F47">
        <v>18</v>
      </c>
      <c r="G47" t="b">
        <v>0</v>
      </c>
      <c r="H47">
        <v>5</v>
      </c>
      <c r="I47">
        <v>1</v>
      </c>
      <c r="J47">
        <v>0.2</v>
      </c>
      <c r="K47">
        <v>0.2576</v>
      </c>
      <c r="L47">
        <v>0.47</v>
      </c>
      <c r="M47">
        <v>0</v>
      </c>
      <c r="N47">
        <v>5</v>
      </c>
      <c r="O47">
        <v>134</v>
      </c>
      <c r="P47">
        <v>139</v>
      </c>
    </row>
    <row r="48" spans="1:16" x14ac:dyDescent="0.3">
      <c r="A48">
        <v>272</v>
      </c>
      <c r="B48" s="1">
        <v>40555</v>
      </c>
      <c r="C48">
        <v>1</v>
      </c>
      <c r="D48">
        <v>0</v>
      </c>
      <c r="E48">
        <v>1</v>
      </c>
      <c r="F48">
        <v>18</v>
      </c>
      <c r="G48" t="b">
        <v>0</v>
      </c>
      <c r="H48">
        <v>3</v>
      </c>
      <c r="I48">
        <v>1</v>
      </c>
      <c r="J48">
        <v>0.2</v>
      </c>
      <c r="K48">
        <v>0.1515</v>
      </c>
      <c r="L48">
        <v>0.47</v>
      </c>
      <c r="M48">
        <v>0.52239999999999998</v>
      </c>
      <c r="N48">
        <v>2</v>
      </c>
      <c r="O48">
        <v>135</v>
      </c>
      <c r="P48">
        <v>137</v>
      </c>
    </row>
    <row r="49" spans="1:16" x14ac:dyDescent="0.3">
      <c r="A49">
        <v>249</v>
      </c>
      <c r="B49" s="1">
        <v>40554</v>
      </c>
      <c r="C49">
        <v>1</v>
      </c>
      <c r="D49">
        <v>0</v>
      </c>
      <c r="E49">
        <v>1</v>
      </c>
      <c r="F49">
        <v>17</v>
      </c>
      <c r="G49" t="b">
        <v>0</v>
      </c>
      <c r="H49">
        <v>2</v>
      </c>
      <c r="I49">
        <v>2</v>
      </c>
      <c r="J49">
        <v>0.16</v>
      </c>
      <c r="K49">
        <v>0.1515</v>
      </c>
      <c r="L49">
        <v>0.86</v>
      </c>
      <c r="M49">
        <v>0.22389999999999999</v>
      </c>
      <c r="N49">
        <v>6</v>
      </c>
      <c r="O49">
        <v>130</v>
      </c>
      <c r="P49">
        <v>136</v>
      </c>
    </row>
    <row r="50" spans="1:16" x14ac:dyDescent="0.3">
      <c r="A50">
        <v>147</v>
      </c>
      <c r="B50" s="1">
        <v>40550</v>
      </c>
      <c r="C50">
        <v>1</v>
      </c>
      <c r="D50">
        <v>0</v>
      </c>
      <c r="E50">
        <v>1</v>
      </c>
      <c r="F50">
        <v>9</v>
      </c>
      <c r="G50" t="b">
        <v>0</v>
      </c>
      <c r="H50">
        <v>5</v>
      </c>
      <c r="I50">
        <v>1</v>
      </c>
      <c r="J50">
        <v>0.2</v>
      </c>
      <c r="K50">
        <v>0.18179999999999999</v>
      </c>
      <c r="L50">
        <v>0.47</v>
      </c>
      <c r="M50">
        <v>0.29849999999999999</v>
      </c>
      <c r="N50">
        <v>9</v>
      </c>
      <c r="O50">
        <v>125</v>
      </c>
      <c r="P50">
        <v>134</v>
      </c>
    </row>
    <row r="51" spans="1:16" x14ac:dyDescent="0.3">
      <c r="A51">
        <v>403</v>
      </c>
      <c r="B51" s="1">
        <v>40561</v>
      </c>
      <c r="C51">
        <v>1</v>
      </c>
      <c r="D51">
        <v>0</v>
      </c>
      <c r="E51">
        <v>1</v>
      </c>
      <c r="F51">
        <v>18</v>
      </c>
      <c r="G51" t="b">
        <v>0</v>
      </c>
      <c r="H51">
        <v>2</v>
      </c>
      <c r="I51">
        <v>2</v>
      </c>
      <c r="J51">
        <v>0.22</v>
      </c>
      <c r="K51">
        <v>0.2273</v>
      </c>
      <c r="L51">
        <v>0.8</v>
      </c>
      <c r="M51">
        <v>0.16420000000000001</v>
      </c>
      <c r="N51">
        <v>1</v>
      </c>
      <c r="O51">
        <v>132</v>
      </c>
      <c r="P51">
        <v>133</v>
      </c>
    </row>
    <row r="52" spans="1:16" x14ac:dyDescent="0.3">
      <c r="A52">
        <v>111</v>
      </c>
      <c r="B52" s="1">
        <v>40548</v>
      </c>
      <c r="C52">
        <v>1</v>
      </c>
      <c r="D52">
        <v>0</v>
      </c>
      <c r="E52">
        <v>1</v>
      </c>
      <c r="F52">
        <v>19</v>
      </c>
      <c r="G52" t="b">
        <v>0</v>
      </c>
      <c r="H52">
        <v>3</v>
      </c>
      <c r="I52">
        <v>1</v>
      </c>
      <c r="J52">
        <v>0.24</v>
      </c>
      <c r="K52">
        <v>0.2576</v>
      </c>
      <c r="L52">
        <v>0.38</v>
      </c>
      <c r="M52">
        <v>0.1045</v>
      </c>
      <c r="N52">
        <v>5</v>
      </c>
      <c r="O52">
        <v>127</v>
      </c>
      <c r="P52">
        <v>132</v>
      </c>
    </row>
    <row r="53" spans="1:16" x14ac:dyDescent="0.3">
      <c r="A53">
        <v>241</v>
      </c>
      <c r="B53" s="1">
        <v>40554</v>
      </c>
      <c r="C53">
        <v>1</v>
      </c>
      <c r="D53">
        <v>0</v>
      </c>
      <c r="E53">
        <v>1</v>
      </c>
      <c r="F53">
        <v>9</v>
      </c>
      <c r="G53" t="b">
        <v>0</v>
      </c>
      <c r="H53">
        <v>2</v>
      </c>
      <c r="I53">
        <v>2</v>
      </c>
      <c r="J53">
        <v>0.18</v>
      </c>
      <c r="K53">
        <v>0.19700000000000001</v>
      </c>
      <c r="L53">
        <v>0.51</v>
      </c>
      <c r="M53">
        <v>0.16420000000000001</v>
      </c>
      <c r="N53">
        <v>3</v>
      </c>
      <c r="O53">
        <v>127</v>
      </c>
      <c r="P53">
        <v>130</v>
      </c>
    </row>
    <row r="54" spans="1:16" x14ac:dyDescent="0.3">
      <c r="A54">
        <v>340</v>
      </c>
      <c r="B54" s="1">
        <v>40558</v>
      </c>
      <c r="C54">
        <v>1</v>
      </c>
      <c r="D54">
        <v>0</v>
      </c>
      <c r="E54">
        <v>1</v>
      </c>
      <c r="F54">
        <v>15</v>
      </c>
      <c r="G54" t="b">
        <v>0</v>
      </c>
      <c r="H54">
        <v>6</v>
      </c>
      <c r="I54">
        <v>2</v>
      </c>
      <c r="J54">
        <v>0.32</v>
      </c>
      <c r="K54">
        <v>0.31819999999999998</v>
      </c>
      <c r="L54">
        <v>0.36</v>
      </c>
      <c r="M54">
        <v>0.19400000000000001</v>
      </c>
      <c r="N54">
        <v>21</v>
      </c>
      <c r="O54">
        <v>108</v>
      </c>
      <c r="P54">
        <v>129</v>
      </c>
    </row>
    <row r="55" spans="1:16" x14ac:dyDescent="0.3">
      <c r="A55">
        <v>262</v>
      </c>
      <c r="B55" s="1">
        <v>40555</v>
      </c>
      <c r="C55">
        <v>1</v>
      </c>
      <c r="D55">
        <v>0</v>
      </c>
      <c r="E55">
        <v>1</v>
      </c>
      <c r="F55">
        <v>8</v>
      </c>
      <c r="G55" t="b">
        <v>0</v>
      </c>
      <c r="H55">
        <v>3</v>
      </c>
      <c r="I55">
        <v>1</v>
      </c>
      <c r="J55">
        <v>0.16</v>
      </c>
      <c r="K55">
        <v>0.16669999999999999</v>
      </c>
      <c r="L55">
        <v>0.59</v>
      </c>
      <c r="M55">
        <v>0.16420000000000001</v>
      </c>
      <c r="N55">
        <v>3</v>
      </c>
      <c r="O55">
        <v>125</v>
      </c>
      <c r="P55">
        <v>128</v>
      </c>
    </row>
    <row r="56" spans="1:16" x14ac:dyDescent="0.3">
      <c r="A56">
        <v>341</v>
      </c>
      <c r="B56" s="1">
        <v>40558</v>
      </c>
      <c r="C56">
        <v>1</v>
      </c>
      <c r="D56">
        <v>0</v>
      </c>
      <c r="E56">
        <v>1</v>
      </c>
      <c r="F56">
        <v>16</v>
      </c>
      <c r="G56" t="b">
        <v>0</v>
      </c>
      <c r="H56">
        <v>6</v>
      </c>
      <c r="I56">
        <v>2</v>
      </c>
      <c r="J56">
        <v>0.34</v>
      </c>
      <c r="K56">
        <v>0.33329999999999999</v>
      </c>
      <c r="L56">
        <v>0.34</v>
      </c>
      <c r="M56">
        <v>0.19400000000000001</v>
      </c>
      <c r="N56">
        <v>33</v>
      </c>
      <c r="O56">
        <v>95</v>
      </c>
      <c r="P56">
        <v>128</v>
      </c>
    </row>
    <row r="57" spans="1:16" x14ac:dyDescent="0.3">
      <c r="A57">
        <v>452</v>
      </c>
      <c r="B57" s="1">
        <v>40563</v>
      </c>
      <c r="C57">
        <v>1</v>
      </c>
      <c r="D57">
        <v>0</v>
      </c>
      <c r="E57">
        <v>1</v>
      </c>
      <c r="F57">
        <v>20</v>
      </c>
      <c r="G57" t="b">
        <v>0</v>
      </c>
      <c r="H57">
        <v>4</v>
      </c>
      <c r="I57">
        <v>2</v>
      </c>
      <c r="J57">
        <v>0.26</v>
      </c>
      <c r="K57">
        <v>0.2424</v>
      </c>
      <c r="L57">
        <v>0.6</v>
      </c>
      <c r="M57">
        <v>0.28360000000000002</v>
      </c>
      <c r="N57">
        <v>2</v>
      </c>
      <c r="O57">
        <v>124</v>
      </c>
      <c r="P57">
        <v>126</v>
      </c>
    </row>
    <row r="58" spans="1:16" x14ac:dyDescent="0.3">
      <c r="A58">
        <v>402</v>
      </c>
      <c r="B58" s="1">
        <v>40561</v>
      </c>
      <c r="C58">
        <v>1</v>
      </c>
      <c r="D58">
        <v>0</v>
      </c>
      <c r="E58">
        <v>1</v>
      </c>
      <c r="F58">
        <v>17</v>
      </c>
      <c r="G58" t="b">
        <v>0</v>
      </c>
      <c r="H58">
        <v>2</v>
      </c>
      <c r="I58">
        <v>2</v>
      </c>
      <c r="J58">
        <v>0.22</v>
      </c>
      <c r="K58">
        <v>0.2273</v>
      </c>
      <c r="L58">
        <v>0.82</v>
      </c>
      <c r="M58">
        <v>0.19400000000000001</v>
      </c>
      <c r="N58">
        <v>1</v>
      </c>
      <c r="O58">
        <v>124</v>
      </c>
      <c r="P58">
        <v>125</v>
      </c>
    </row>
    <row r="59" spans="1:16" x14ac:dyDescent="0.3">
      <c r="A59">
        <v>156</v>
      </c>
      <c r="B59" s="1">
        <v>40550</v>
      </c>
      <c r="C59">
        <v>1</v>
      </c>
      <c r="D59">
        <v>0</v>
      </c>
      <c r="E59">
        <v>1</v>
      </c>
      <c r="F59">
        <v>18</v>
      </c>
      <c r="G59" t="b">
        <v>0</v>
      </c>
      <c r="H59">
        <v>5</v>
      </c>
      <c r="I59">
        <v>1</v>
      </c>
      <c r="J59">
        <v>0.2</v>
      </c>
      <c r="K59">
        <v>0.2273</v>
      </c>
      <c r="L59">
        <v>0.4</v>
      </c>
      <c r="M59">
        <v>8.9599999999999999E-2</v>
      </c>
      <c r="N59">
        <v>7</v>
      </c>
      <c r="O59">
        <v>116</v>
      </c>
      <c r="P59">
        <v>123</v>
      </c>
    </row>
    <row r="60" spans="1:16" x14ac:dyDescent="0.3">
      <c r="A60">
        <v>124</v>
      </c>
      <c r="B60" s="1">
        <v>40549</v>
      </c>
      <c r="C60">
        <v>1</v>
      </c>
      <c r="D60">
        <v>0</v>
      </c>
      <c r="E60">
        <v>1</v>
      </c>
      <c r="F60">
        <v>9</v>
      </c>
      <c r="G60" t="b">
        <v>0</v>
      </c>
      <c r="H60">
        <v>4</v>
      </c>
      <c r="I60">
        <v>2</v>
      </c>
      <c r="J60">
        <v>0.18</v>
      </c>
      <c r="K60">
        <v>0.2424</v>
      </c>
      <c r="L60">
        <v>0.51</v>
      </c>
      <c r="M60">
        <v>0</v>
      </c>
      <c r="N60">
        <v>6</v>
      </c>
      <c r="O60">
        <v>116</v>
      </c>
      <c r="P60">
        <v>122</v>
      </c>
    </row>
    <row r="61" spans="1:16" x14ac:dyDescent="0.3">
      <c r="A61">
        <v>474</v>
      </c>
      <c r="B61" s="1">
        <v>40564</v>
      </c>
      <c r="C61">
        <v>1</v>
      </c>
      <c r="D61">
        <v>0</v>
      </c>
      <c r="E61">
        <v>1</v>
      </c>
      <c r="F61">
        <v>18</v>
      </c>
      <c r="G61" t="b">
        <v>0</v>
      </c>
      <c r="H61">
        <v>5</v>
      </c>
      <c r="I61">
        <v>1</v>
      </c>
      <c r="J61">
        <v>0.12</v>
      </c>
      <c r="K61">
        <v>0.1212</v>
      </c>
      <c r="L61">
        <v>0.3</v>
      </c>
      <c r="M61">
        <v>0.25369999999999998</v>
      </c>
      <c r="N61">
        <v>1</v>
      </c>
      <c r="O61">
        <v>119</v>
      </c>
      <c r="P61">
        <v>120</v>
      </c>
    </row>
    <row r="62" spans="1:16" x14ac:dyDescent="0.3">
      <c r="A62">
        <v>568</v>
      </c>
      <c r="B62" s="1">
        <v>40568</v>
      </c>
      <c r="C62">
        <v>1</v>
      </c>
      <c r="D62">
        <v>0</v>
      </c>
      <c r="E62">
        <v>1</v>
      </c>
      <c r="F62">
        <v>20</v>
      </c>
      <c r="G62" t="b">
        <v>0</v>
      </c>
      <c r="H62">
        <v>2</v>
      </c>
      <c r="I62">
        <v>1</v>
      </c>
      <c r="J62">
        <v>0.24</v>
      </c>
      <c r="K62">
        <v>0.2273</v>
      </c>
      <c r="L62">
        <v>0.65</v>
      </c>
      <c r="M62">
        <v>0.19400000000000001</v>
      </c>
      <c r="N62">
        <v>16</v>
      </c>
      <c r="O62">
        <v>103</v>
      </c>
      <c r="P62">
        <v>119</v>
      </c>
    </row>
    <row r="63" spans="1:16" x14ac:dyDescent="0.3">
      <c r="A63">
        <v>339</v>
      </c>
      <c r="B63" s="1">
        <v>40558</v>
      </c>
      <c r="C63">
        <v>1</v>
      </c>
      <c r="D63">
        <v>0</v>
      </c>
      <c r="E63">
        <v>1</v>
      </c>
      <c r="F63">
        <v>14</v>
      </c>
      <c r="G63" t="b">
        <v>0</v>
      </c>
      <c r="H63">
        <v>6</v>
      </c>
      <c r="I63">
        <v>1</v>
      </c>
      <c r="J63">
        <v>0.3</v>
      </c>
      <c r="K63">
        <v>0.28789999999999999</v>
      </c>
      <c r="L63">
        <v>0.39</v>
      </c>
      <c r="M63">
        <v>0.28360000000000002</v>
      </c>
      <c r="N63">
        <v>26</v>
      </c>
      <c r="O63">
        <v>92</v>
      </c>
      <c r="P63">
        <v>118</v>
      </c>
    </row>
    <row r="64" spans="1:16" x14ac:dyDescent="0.3">
      <c r="A64">
        <v>362</v>
      </c>
      <c r="B64" s="1">
        <v>40559</v>
      </c>
      <c r="C64">
        <v>1</v>
      </c>
      <c r="D64">
        <v>0</v>
      </c>
      <c r="E64">
        <v>1</v>
      </c>
      <c r="F64">
        <v>13</v>
      </c>
      <c r="G64" t="b">
        <v>0</v>
      </c>
      <c r="H64">
        <v>0</v>
      </c>
      <c r="I64">
        <v>1</v>
      </c>
      <c r="J64">
        <v>0.26</v>
      </c>
      <c r="K64">
        <v>0.2273</v>
      </c>
      <c r="L64">
        <v>0.35</v>
      </c>
      <c r="M64">
        <v>0.29849999999999999</v>
      </c>
      <c r="N64">
        <v>23</v>
      </c>
      <c r="O64">
        <v>95</v>
      </c>
      <c r="P64">
        <v>118</v>
      </c>
    </row>
    <row r="65" spans="1:16" x14ac:dyDescent="0.3">
      <c r="A65">
        <v>310</v>
      </c>
      <c r="B65" s="1">
        <v>40557</v>
      </c>
      <c r="C65">
        <v>1</v>
      </c>
      <c r="D65">
        <v>0</v>
      </c>
      <c r="E65">
        <v>1</v>
      </c>
      <c r="F65">
        <v>9</v>
      </c>
      <c r="G65" t="b">
        <v>0</v>
      </c>
      <c r="H65">
        <v>5</v>
      </c>
      <c r="I65">
        <v>1</v>
      </c>
      <c r="J65">
        <v>0.14000000000000001</v>
      </c>
      <c r="K65">
        <v>0.1515</v>
      </c>
      <c r="L65">
        <v>0.69</v>
      </c>
      <c r="M65">
        <v>0.1343</v>
      </c>
      <c r="N65">
        <v>0</v>
      </c>
      <c r="O65">
        <v>117</v>
      </c>
      <c r="P65">
        <v>117</v>
      </c>
    </row>
    <row r="66" spans="1:16" x14ac:dyDescent="0.3">
      <c r="A66">
        <v>514</v>
      </c>
      <c r="B66" s="1">
        <v>40566</v>
      </c>
      <c r="C66">
        <v>1</v>
      </c>
      <c r="D66">
        <v>0</v>
      </c>
      <c r="E66">
        <v>1</v>
      </c>
      <c r="F66">
        <v>12</v>
      </c>
      <c r="G66" t="b">
        <v>0</v>
      </c>
      <c r="H66">
        <v>0</v>
      </c>
      <c r="I66">
        <v>1</v>
      </c>
      <c r="J66">
        <v>0.16</v>
      </c>
      <c r="K66">
        <v>0.1212</v>
      </c>
      <c r="L66">
        <v>0.37</v>
      </c>
      <c r="M66">
        <v>0.4627</v>
      </c>
      <c r="N66">
        <v>24</v>
      </c>
      <c r="O66">
        <v>92</v>
      </c>
      <c r="P66">
        <v>116</v>
      </c>
    </row>
    <row r="67" spans="1:16" x14ac:dyDescent="0.3">
      <c r="A67">
        <v>564</v>
      </c>
      <c r="B67" s="1">
        <v>40568</v>
      </c>
      <c r="C67">
        <v>1</v>
      </c>
      <c r="D67">
        <v>0</v>
      </c>
      <c r="E67">
        <v>1</v>
      </c>
      <c r="F67">
        <v>16</v>
      </c>
      <c r="G67" t="b">
        <v>0</v>
      </c>
      <c r="H67">
        <v>2</v>
      </c>
      <c r="I67">
        <v>2</v>
      </c>
      <c r="J67">
        <v>0.32</v>
      </c>
      <c r="K67">
        <v>0.34849999999999998</v>
      </c>
      <c r="L67">
        <v>0.42</v>
      </c>
      <c r="M67">
        <v>0</v>
      </c>
      <c r="N67">
        <v>14</v>
      </c>
      <c r="O67">
        <v>102</v>
      </c>
      <c r="P67">
        <v>116</v>
      </c>
    </row>
    <row r="68" spans="1:16" x14ac:dyDescent="0.3">
      <c r="A68">
        <v>101</v>
      </c>
      <c r="B68" s="1">
        <v>40548</v>
      </c>
      <c r="C68">
        <v>1</v>
      </c>
      <c r="D68">
        <v>0</v>
      </c>
      <c r="E68">
        <v>1</v>
      </c>
      <c r="F68">
        <v>9</v>
      </c>
      <c r="G68" t="b">
        <v>0</v>
      </c>
      <c r="H68">
        <v>3</v>
      </c>
      <c r="I68">
        <v>1</v>
      </c>
      <c r="J68">
        <v>0.22</v>
      </c>
      <c r="K68">
        <v>0.19700000000000001</v>
      </c>
      <c r="L68">
        <v>0.37</v>
      </c>
      <c r="M68">
        <v>0.32840000000000003</v>
      </c>
      <c r="N68">
        <v>6</v>
      </c>
      <c r="O68">
        <v>109</v>
      </c>
      <c r="P68">
        <v>115</v>
      </c>
    </row>
    <row r="69" spans="1:16" x14ac:dyDescent="0.3">
      <c r="A69">
        <v>364</v>
      </c>
      <c r="B69" s="1">
        <v>40559</v>
      </c>
      <c r="C69">
        <v>1</v>
      </c>
      <c r="D69">
        <v>0</v>
      </c>
      <c r="E69">
        <v>1</v>
      </c>
      <c r="F69">
        <v>15</v>
      </c>
      <c r="G69" t="b">
        <v>0</v>
      </c>
      <c r="H69">
        <v>0</v>
      </c>
      <c r="I69">
        <v>1</v>
      </c>
      <c r="J69">
        <v>0.26</v>
      </c>
      <c r="K69">
        <v>0.2424</v>
      </c>
      <c r="L69">
        <v>0.38</v>
      </c>
      <c r="M69">
        <v>0.25369999999999998</v>
      </c>
      <c r="N69">
        <v>35</v>
      </c>
      <c r="O69">
        <v>78</v>
      </c>
      <c r="P69">
        <v>113</v>
      </c>
    </row>
    <row r="70" spans="1:16" x14ac:dyDescent="0.3">
      <c r="A70">
        <v>88</v>
      </c>
      <c r="B70" s="1">
        <v>40547</v>
      </c>
      <c r="C70">
        <v>1</v>
      </c>
      <c r="D70">
        <v>0</v>
      </c>
      <c r="E70">
        <v>1</v>
      </c>
      <c r="F70">
        <v>19</v>
      </c>
      <c r="G70" t="b">
        <v>0</v>
      </c>
      <c r="H70">
        <v>2</v>
      </c>
      <c r="I70">
        <v>1</v>
      </c>
      <c r="J70">
        <v>0.24</v>
      </c>
      <c r="K70">
        <v>0.2576</v>
      </c>
      <c r="L70">
        <v>0.48</v>
      </c>
      <c r="M70">
        <v>0.1045</v>
      </c>
      <c r="N70">
        <v>2</v>
      </c>
      <c r="O70">
        <v>110</v>
      </c>
      <c r="P70">
        <v>112</v>
      </c>
    </row>
    <row r="71" spans="1:16" x14ac:dyDescent="0.3">
      <c r="A71">
        <v>134</v>
      </c>
      <c r="B71" s="1">
        <v>40549</v>
      </c>
      <c r="C71">
        <v>1</v>
      </c>
      <c r="D71">
        <v>0</v>
      </c>
      <c r="E71">
        <v>1</v>
      </c>
      <c r="F71">
        <v>19</v>
      </c>
      <c r="G71" t="b">
        <v>0</v>
      </c>
      <c r="H71">
        <v>4</v>
      </c>
      <c r="I71">
        <v>1</v>
      </c>
      <c r="J71">
        <v>0.22</v>
      </c>
      <c r="K71">
        <v>0.2576</v>
      </c>
      <c r="L71">
        <v>0.55000000000000004</v>
      </c>
      <c r="M71">
        <v>8.9599999999999999E-2</v>
      </c>
      <c r="N71">
        <v>3</v>
      </c>
      <c r="O71">
        <v>109</v>
      </c>
      <c r="P71">
        <v>112</v>
      </c>
    </row>
    <row r="72" spans="1:16" x14ac:dyDescent="0.3">
      <c r="A72">
        <v>427</v>
      </c>
      <c r="B72" s="1">
        <v>40562</v>
      </c>
      <c r="C72">
        <v>1</v>
      </c>
      <c r="D72">
        <v>0</v>
      </c>
      <c r="E72">
        <v>1</v>
      </c>
      <c r="F72">
        <v>19</v>
      </c>
      <c r="G72" t="b">
        <v>0</v>
      </c>
      <c r="H72">
        <v>3</v>
      </c>
      <c r="I72">
        <v>1</v>
      </c>
      <c r="J72">
        <v>0.32</v>
      </c>
      <c r="K72">
        <v>0.28789999999999999</v>
      </c>
      <c r="L72">
        <v>0.56999999999999995</v>
      </c>
      <c r="M72">
        <v>0.41789999999999999</v>
      </c>
      <c r="N72">
        <v>4</v>
      </c>
      <c r="O72">
        <v>108</v>
      </c>
      <c r="P72">
        <v>112</v>
      </c>
    </row>
    <row r="73" spans="1:16" x14ac:dyDescent="0.3">
      <c r="A73">
        <v>16</v>
      </c>
      <c r="B73" s="1">
        <v>40544</v>
      </c>
      <c r="C73">
        <v>1</v>
      </c>
      <c r="D73">
        <v>0</v>
      </c>
      <c r="E73">
        <v>1</v>
      </c>
      <c r="F73">
        <v>15</v>
      </c>
      <c r="G73" t="b">
        <v>0</v>
      </c>
      <c r="H73">
        <v>6</v>
      </c>
      <c r="I73">
        <v>2</v>
      </c>
      <c r="J73">
        <v>0.44</v>
      </c>
      <c r="K73">
        <v>0.43940000000000001</v>
      </c>
      <c r="L73">
        <v>0.77</v>
      </c>
      <c r="M73">
        <v>0.29849999999999999</v>
      </c>
      <c r="N73">
        <v>40</v>
      </c>
      <c r="O73">
        <v>70</v>
      </c>
      <c r="P73">
        <v>110</v>
      </c>
    </row>
    <row r="74" spans="1:16" x14ac:dyDescent="0.3">
      <c r="A74">
        <v>65</v>
      </c>
      <c r="B74" s="1">
        <v>40546</v>
      </c>
      <c r="C74">
        <v>1</v>
      </c>
      <c r="D74">
        <v>0</v>
      </c>
      <c r="E74">
        <v>1</v>
      </c>
      <c r="F74">
        <v>19</v>
      </c>
      <c r="G74" t="b">
        <v>0</v>
      </c>
      <c r="H74">
        <v>1</v>
      </c>
      <c r="I74">
        <v>1</v>
      </c>
      <c r="J74">
        <v>0.2</v>
      </c>
      <c r="K74">
        <v>0.2576</v>
      </c>
      <c r="L74">
        <v>0.47</v>
      </c>
      <c r="M74">
        <v>0</v>
      </c>
      <c r="N74">
        <v>8</v>
      </c>
      <c r="O74">
        <v>102</v>
      </c>
      <c r="P74">
        <v>110</v>
      </c>
    </row>
    <row r="75" spans="1:16" x14ac:dyDescent="0.3">
      <c r="A75">
        <v>516</v>
      </c>
      <c r="B75" s="1">
        <v>40566</v>
      </c>
      <c r="C75">
        <v>1</v>
      </c>
      <c r="D75">
        <v>0</v>
      </c>
      <c r="E75">
        <v>1</v>
      </c>
      <c r="F75">
        <v>14</v>
      </c>
      <c r="G75" t="b">
        <v>0</v>
      </c>
      <c r="H75">
        <v>0</v>
      </c>
      <c r="I75">
        <v>1</v>
      </c>
      <c r="J75">
        <v>0.16</v>
      </c>
      <c r="K75">
        <v>0.13639999999999999</v>
      </c>
      <c r="L75">
        <v>0.28000000000000003</v>
      </c>
      <c r="M75">
        <v>0.35820000000000002</v>
      </c>
      <c r="N75">
        <v>17</v>
      </c>
      <c r="O75">
        <v>93</v>
      </c>
      <c r="P75">
        <v>110</v>
      </c>
    </row>
    <row r="76" spans="1:16" x14ac:dyDescent="0.3">
      <c r="A76">
        <v>417</v>
      </c>
      <c r="B76" s="1">
        <v>40562</v>
      </c>
      <c r="C76">
        <v>1</v>
      </c>
      <c r="D76">
        <v>0</v>
      </c>
      <c r="E76">
        <v>1</v>
      </c>
      <c r="F76">
        <v>9</v>
      </c>
      <c r="G76" t="b">
        <v>0</v>
      </c>
      <c r="H76">
        <v>3</v>
      </c>
      <c r="I76">
        <v>2</v>
      </c>
      <c r="J76">
        <v>0.24</v>
      </c>
      <c r="K76">
        <v>0.2576</v>
      </c>
      <c r="L76">
        <v>0.93</v>
      </c>
      <c r="M76">
        <v>0.1045</v>
      </c>
      <c r="N76">
        <v>2</v>
      </c>
      <c r="O76">
        <v>107</v>
      </c>
      <c r="P76">
        <v>109</v>
      </c>
    </row>
    <row r="77" spans="1:16" x14ac:dyDescent="0.3">
      <c r="A77">
        <v>555</v>
      </c>
      <c r="B77" s="1">
        <v>40568</v>
      </c>
      <c r="C77">
        <v>1</v>
      </c>
      <c r="D77">
        <v>0</v>
      </c>
      <c r="E77">
        <v>1</v>
      </c>
      <c r="F77">
        <v>7</v>
      </c>
      <c r="G77" t="b">
        <v>0</v>
      </c>
      <c r="H77">
        <v>2</v>
      </c>
      <c r="I77">
        <v>1</v>
      </c>
      <c r="J77">
        <v>0.16</v>
      </c>
      <c r="K77">
        <v>0.1515</v>
      </c>
      <c r="L77">
        <v>0.74</v>
      </c>
      <c r="M77">
        <v>0.22389999999999999</v>
      </c>
      <c r="N77">
        <v>5</v>
      </c>
      <c r="O77">
        <v>103</v>
      </c>
      <c r="P77">
        <v>108</v>
      </c>
    </row>
    <row r="78" spans="1:16" x14ac:dyDescent="0.3">
      <c r="A78">
        <v>15</v>
      </c>
      <c r="B78" s="1">
        <v>40544</v>
      </c>
      <c r="C78">
        <v>1</v>
      </c>
      <c r="D78">
        <v>0</v>
      </c>
      <c r="E78">
        <v>1</v>
      </c>
      <c r="F78">
        <v>14</v>
      </c>
      <c r="G78" t="b">
        <v>0</v>
      </c>
      <c r="H78">
        <v>6</v>
      </c>
      <c r="I78">
        <v>2</v>
      </c>
      <c r="J78">
        <v>0.46</v>
      </c>
      <c r="K78">
        <v>0.45450000000000002</v>
      </c>
      <c r="L78">
        <v>0.72</v>
      </c>
      <c r="M78">
        <v>0.28360000000000002</v>
      </c>
      <c r="N78">
        <v>35</v>
      </c>
      <c r="O78">
        <v>71</v>
      </c>
      <c r="P78">
        <v>106</v>
      </c>
    </row>
    <row r="79" spans="1:16" x14ac:dyDescent="0.3">
      <c r="A79">
        <v>544</v>
      </c>
      <c r="B79" s="1">
        <v>40567</v>
      </c>
      <c r="C79">
        <v>1</v>
      </c>
      <c r="D79">
        <v>0</v>
      </c>
      <c r="E79">
        <v>1</v>
      </c>
      <c r="F79">
        <v>19</v>
      </c>
      <c r="G79" t="b">
        <v>0</v>
      </c>
      <c r="H79">
        <v>1</v>
      </c>
      <c r="I79">
        <v>1</v>
      </c>
      <c r="J79">
        <v>0.14000000000000001</v>
      </c>
      <c r="K79">
        <v>0.1515</v>
      </c>
      <c r="L79">
        <v>0.54</v>
      </c>
      <c r="M79">
        <v>0.16420000000000001</v>
      </c>
      <c r="N79">
        <v>5</v>
      </c>
      <c r="O79">
        <v>101</v>
      </c>
      <c r="P79">
        <v>106</v>
      </c>
    </row>
    <row r="80" spans="1:16" x14ac:dyDescent="0.3">
      <c r="A80">
        <v>560</v>
      </c>
      <c r="B80" s="1">
        <v>40568</v>
      </c>
      <c r="C80">
        <v>1</v>
      </c>
      <c r="D80">
        <v>0</v>
      </c>
      <c r="E80">
        <v>1</v>
      </c>
      <c r="F80">
        <v>12</v>
      </c>
      <c r="G80" t="b">
        <v>0</v>
      </c>
      <c r="H80">
        <v>2</v>
      </c>
      <c r="I80">
        <v>2</v>
      </c>
      <c r="J80">
        <v>0.26</v>
      </c>
      <c r="K80">
        <v>0.28789999999999999</v>
      </c>
      <c r="L80">
        <v>0.56000000000000005</v>
      </c>
      <c r="M80">
        <v>8.9599999999999999E-2</v>
      </c>
      <c r="N80">
        <v>21</v>
      </c>
      <c r="O80">
        <v>85</v>
      </c>
      <c r="P80">
        <v>106</v>
      </c>
    </row>
    <row r="81" spans="1:16" x14ac:dyDescent="0.3">
      <c r="A81">
        <v>366</v>
      </c>
      <c r="B81" s="1">
        <v>40559</v>
      </c>
      <c r="C81">
        <v>1</v>
      </c>
      <c r="D81">
        <v>0</v>
      </c>
      <c r="E81">
        <v>1</v>
      </c>
      <c r="F81">
        <v>17</v>
      </c>
      <c r="G81" t="b">
        <v>0</v>
      </c>
      <c r="H81">
        <v>0</v>
      </c>
      <c r="I81">
        <v>1</v>
      </c>
      <c r="J81">
        <v>0.22</v>
      </c>
      <c r="K81">
        <v>0.21210000000000001</v>
      </c>
      <c r="L81">
        <v>0.37</v>
      </c>
      <c r="M81">
        <v>0.25369999999999998</v>
      </c>
      <c r="N81">
        <v>23</v>
      </c>
      <c r="O81">
        <v>82</v>
      </c>
      <c r="P81">
        <v>105</v>
      </c>
    </row>
    <row r="82" spans="1:16" x14ac:dyDescent="0.3">
      <c r="A82">
        <v>361</v>
      </c>
      <c r="B82" s="1">
        <v>40559</v>
      </c>
      <c r="C82">
        <v>1</v>
      </c>
      <c r="D82">
        <v>0</v>
      </c>
      <c r="E82">
        <v>1</v>
      </c>
      <c r="F82">
        <v>12</v>
      </c>
      <c r="G82" t="b">
        <v>0</v>
      </c>
      <c r="H82">
        <v>0</v>
      </c>
      <c r="I82">
        <v>1</v>
      </c>
      <c r="J82">
        <v>0.24</v>
      </c>
      <c r="K82">
        <v>0.21210000000000001</v>
      </c>
      <c r="L82">
        <v>0.41</v>
      </c>
      <c r="M82">
        <v>0.28360000000000002</v>
      </c>
      <c r="N82">
        <v>29</v>
      </c>
      <c r="O82">
        <v>75</v>
      </c>
      <c r="P82">
        <v>104</v>
      </c>
    </row>
    <row r="83" spans="1:16" x14ac:dyDescent="0.3">
      <c r="A83">
        <v>424</v>
      </c>
      <c r="B83" s="1">
        <v>40562</v>
      </c>
      <c r="C83">
        <v>1</v>
      </c>
      <c r="D83">
        <v>0</v>
      </c>
      <c r="E83">
        <v>1</v>
      </c>
      <c r="F83">
        <v>16</v>
      </c>
      <c r="G83" t="b">
        <v>0</v>
      </c>
      <c r="H83">
        <v>3</v>
      </c>
      <c r="I83">
        <v>1</v>
      </c>
      <c r="J83">
        <v>0.38</v>
      </c>
      <c r="K83">
        <v>0.39389999999999997</v>
      </c>
      <c r="L83">
        <v>0.57999999999999996</v>
      </c>
      <c r="M83">
        <v>0.3881</v>
      </c>
      <c r="N83">
        <v>10</v>
      </c>
      <c r="O83">
        <v>94</v>
      </c>
      <c r="P83">
        <v>104</v>
      </c>
    </row>
    <row r="84" spans="1:16" x14ac:dyDescent="0.3">
      <c r="A84">
        <v>590</v>
      </c>
      <c r="B84" s="1">
        <v>40570</v>
      </c>
      <c r="C84">
        <v>1</v>
      </c>
      <c r="D84">
        <v>0</v>
      </c>
      <c r="E84">
        <v>1</v>
      </c>
      <c r="F84">
        <v>18</v>
      </c>
      <c r="G84" t="b">
        <v>0</v>
      </c>
      <c r="H84">
        <v>4</v>
      </c>
      <c r="I84">
        <v>1</v>
      </c>
      <c r="J84">
        <v>0.2</v>
      </c>
      <c r="K84">
        <v>0.2273</v>
      </c>
      <c r="L84">
        <v>0.69</v>
      </c>
      <c r="M84">
        <v>8.9599999999999999E-2</v>
      </c>
      <c r="N84">
        <v>3</v>
      </c>
      <c r="O84">
        <v>101</v>
      </c>
      <c r="P84">
        <v>104</v>
      </c>
    </row>
    <row r="85" spans="1:16" x14ac:dyDescent="0.3">
      <c r="A85">
        <v>494</v>
      </c>
      <c r="B85" s="1">
        <v>40565</v>
      </c>
      <c r="C85">
        <v>1</v>
      </c>
      <c r="D85">
        <v>0</v>
      </c>
      <c r="E85">
        <v>1</v>
      </c>
      <c r="F85">
        <v>15</v>
      </c>
      <c r="G85" t="b">
        <v>0</v>
      </c>
      <c r="H85">
        <v>6</v>
      </c>
      <c r="I85">
        <v>1</v>
      </c>
      <c r="J85">
        <v>0.12</v>
      </c>
      <c r="K85">
        <v>0.1515</v>
      </c>
      <c r="L85">
        <v>0.28000000000000003</v>
      </c>
      <c r="M85">
        <v>0</v>
      </c>
      <c r="N85">
        <v>10</v>
      </c>
      <c r="O85">
        <v>93</v>
      </c>
      <c r="P85">
        <v>103</v>
      </c>
    </row>
    <row r="86" spans="1:16" x14ac:dyDescent="0.3">
      <c r="A86">
        <v>175</v>
      </c>
      <c r="B86" s="1">
        <v>40551</v>
      </c>
      <c r="C86">
        <v>1</v>
      </c>
      <c r="D86">
        <v>0</v>
      </c>
      <c r="E86">
        <v>1</v>
      </c>
      <c r="F86">
        <v>13</v>
      </c>
      <c r="G86" t="b">
        <v>0</v>
      </c>
      <c r="H86">
        <v>6</v>
      </c>
      <c r="I86">
        <v>1</v>
      </c>
      <c r="J86">
        <v>0.2</v>
      </c>
      <c r="K86">
        <v>0.18179999999999999</v>
      </c>
      <c r="L86">
        <v>0.44</v>
      </c>
      <c r="M86">
        <v>0.32840000000000003</v>
      </c>
      <c r="N86">
        <v>7</v>
      </c>
      <c r="O86">
        <v>95</v>
      </c>
      <c r="P86">
        <v>102</v>
      </c>
    </row>
    <row r="87" spans="1:16" x14ac:dyDescent="0.3">
      <c r="A87">
        <v>534</v>
      </c>
      <c r="B87" s="1">
        <v>40567</v>
      </c>
      <c r="C87">
        <v>1</v>
      </c>
      <c r="D87">
        <v>0</v>
      </c>
      <c r="E87">
        <v>1</v>
      </c>
      <c r="F87">
        <v>9</v>
      </c>
      <c r="G87" t="b">
        <v>0</v>
      </c>
      <c r="H87">
        <v>1</v>
      </c>
      <c r="I87">
        <v>1</v>
      </c>
      <c r="J87">
        <v>0.06</v>
      </c>
      <c r="K87">
        <v>0.1515</v>
      </c>
      <c r="L87">
        <v>0.41</v>
      </c>
      <c r="M87">
        <v>0</v>
      </c>
      <c r="N87">
        <v>4</v>
      </c>
      <c r="O87">
        <v>98</v>
      </c>
      <c r="P87">
        <v>102</v>
      </c>
    </row>
    <row r="88" spans="1:16" x14ac:dyDescent="0.3">
      <c r="A88">
        <v>338</v>
      </c>
      <c r="B88" s="1">
        <v>40558</v>
      </c>
      <c r="C88">
        <v>1</v>
      </c>
      <c r="D88">
        <v>0</v>
      </c>
      <c r="E88">
        <v>1</v>
      </c>
      <c r="F88">
        <v>13</v>
      </c>
      <c r="G88" t="b">
        <v>0</v>
      </c>
      <c r="H88">
        <v>6</v>
      </c>
      <c r="I88">
        <v>1</v>
      </c>
      <c r="J88">
        <v>0.28000000000000003</v>
      </c>
      <c r="K88">
        <v>0.2576</v>
      </c>
      <c r="L88">
        <v>0.38</v>
      </c>
      <c r="M88">
        <v>0.29849999999999999</v>
      </c>
      <c r="N88">
        <v>21</v>
      </c>
      <c r="O88">
        <v>80</v>
      </c>
      <c r="P88">
        <v>101</v>
      </c>
    </row>
    <row r="89" spans="1:16" x14ac:dyDescent="0.3">
      <c r="A89">
        <v>439</v>
      </c>
      <c r="B89" s="1">
        <v>40563</v>
      </c>
      <c r="C89">
        <v>1</v>
      </c>
      <c r="D89">
        <v>0</v>
      </c>
      <c r="E89">
        <v>1</v>
      </c>
      <c r="F89">
        <v>7</v>
      </c>
      <c r="G89" t="b">
        <v>0</v>
      </c>
      <c r="H89">
        <v>4</v>
      </c>
      <c r="I89">
        <v>1</v>
      </c>
      <c r="J89">
        <v>0.22</v>
      </c>
      <c r="K89">
        <v>0.21210000000000001</v>
      </c>
      <c r="L89">
        <v>0.55000000000000004</v>
      </c>
      <c r="M89">
        <v>0.22389999999999999</v>
      </c>
      <c r="N89">
        <v>1</v>
      </c>
      <c r="O89">
        <v>100</v>
      </c>
      <c r="P89">
        <v>101</v>
      </c>
    </row>
    <row r="90" spans="1:16" x14ac:dyDescent="0.3">
      <c r="A90">
        <v>604</v>
      </c>
      <c r="B90" s="1">
        <v>40571</v>
      </c>
      <c r="C90">
        <v>1</v>
      </c>
      <c r="D90">
        <v>0</v>
      </c>
      <c r="E90">
        <v>1</v>
      </c>
      <c r="F90">
        <v>9</v>
      </c>
      <c r="G90" t="b">
        <v>0</v>
      </c>
      <c r="H90">
        <v>5</v>
      </c>
      <c r="I90">
        <v>3</v>
      </c>
      <c r="J90">
        <v>0.18</v>
      </c>
      <c r="K90">
        <v>0.21210000000000001</v>
      </c>
      <c r="L90">
        <v>0.86</v>
      </c>
      <c r="M90">
        <v>8.9599999999999999E-2</v>
      </c>
      <c r="N90">
        <v>6</v>
      </c>
      <c r="O90">
        <v>95</v>
      </c>
      <c r="P90">
        <v>101</v>
      </c>
    </row>
    <row r="91" spans="1:16" x14ac:dyDescent="0.3">
      <c r="A91">
        <v>78</v>
      </c>
      <c r="B91" s="1">
        <v>40547</v>
      </c>
      <c r="C91">
        <v>1</v>
      </c>
      <c r="D91">
        <v>0</v>
      </c>
      <c r="E91">
        <v>1</v>
      </c>
      <c r="F91">
        <v>9</v>
      </c>
      <c r="G91" t="b">
        <v>0</v>
      </c>
      <c r="H91">
        <v>2</v>
      </c>
      <c r="I91">
        <v>1</v>
      </c>
      <c r="J91">
        <v>0.16</v>
      </c>
      <c r="K91">
        <v>0.1515</v>
      </c>
      <c r="L91">
        <v>0.64</v>
      </c>
      <c r="M91">
        <v>0.22389999999999999</v>
      </c>
      <c r="N91">
        <v>2</v>
      </c>
      <c r="O91">
        <v>98</v>
      </c>
      <c r="P91">
        <v>100</v>
      </c>
    </row>
    <row r="92" spans="1:16" x14ac:dyDescent="0.3">
      <c r="A92">
        <v>239</v>
      </c>
      <c r="B92" s="1">
        <v>40554</v>
      </c>
      <c r="C92">
        <v>1</v>
      </c>
      <c r="D92">
        <v>0</v>
      </c>
      <c r="E92">
        <v>1</v>
      </c>
      <c r="F92">
        <v>7</v>
      </c>
      <c r="G92" t="b">
        <v>0</v>
      </c>
      <c r="H92">
        <v>2</v>
      </c>
      <c r="I92">
        <v>2</v>
      </c>
      <c r="J92">
        <v>0.16</v>
      </c>
      <c r="K92">
        <v>0.2273</v>
      </c>
      <c r="L92">
        <v>0.55000000000000004</v>
      </c>
      <c r="M92">
        <v>0</v>
      </c>
      <c r="N92">
        <v>2</v>
      </c>
      <c r="O92">
        <v>97</v>
      </c>
      <c r="P92">
        <v>99</v>
      </c>
    </row>
    <row r="93" spans="1:16" x14ac:dyDescent="0.3">
      <c r="A93">
        <v>297</v>
      </c>
      <c r="B93" s="1">
        <v>40556</v>
      </c>
      <c r="C93">
        <v>1</v>
      </c>
      <c r="D93">
        <v>0</v>
      </c>
      <c r="E93">
        <v>1</v>
      </c>
      <c r="F93">
        <v>19</v>
      </c>
      <c r="G93" t="b">
        <v>0</v>
      </c>
      <c r="H93">
        <v>4</v>
      </c>
      <c r="I93">
        <v>1</v>
      </c>
      <c r="J93">
        <v>0.16</v>
      </c>
      <c r="K93">
        <v>0.1515</v>
      </c>
      <c r="L93">
        <v>0.47</v>
      </c>
      <c r="M93">
        <v>0.25369999999999998</v>
      </c>
      <c r="N93">
        <v>1</v>
      </c>
      <c r="O93">
        <v>98</v>
      </c>
      <c r="P93">
        <v>99</v>
      </c>
    </row>
    <row r="94" spans="1:16" x14ac:dyDescent="0.3">
      <c r="A94">
        <v>365</v>
      </c>
      <c r="B94" s="1">
        <v>40559</v>
      </c>
      <c r="C94">
        <v>1</v>
      </c>
      <c r="D94">
        <v>0</v>
      </c>
      <c r="E94">
        <v>1</v>
      </c>
      <c r="F94">
        <v>16</v>
      </c>
      <c r="G94" t="b">
        <v>0</v>
      </c>
      <c r="H94">
        <v>0</v>
      </c>
      <c r="I94">
        <v>1</v>
      </c>
      <c r="J94">
        <v>0.24</v>
      </c>
      <c r="K94">
        <v>0.2273</v>
      </c>
      <c r="L94">
        <v>0.38</v>
      </c>
      <c r="M94">
        <v>0.22389999999999999</v>
      </c>
      <c r="N94">
        <v>22</v>
      </c>
      <c r="O94">
        <v>77</v>
      </c>
      <c r="P94">
        <v>99</v>
      </c>
    </row>
    <row r="95" spans="1:16" x14ac:dyDescent="0.3">
      <c r="A95">
        <v>404</v>
      </c>
      <c r="B95" s="1">
        <v>40561</v>
      </c>
      <c r="C95">
        <v>1</v>
      </c>
      <c r="D95">
        <v>0</v>
      </c>
      <c r="E95">
        <v>1</v>
      </c>
      <c r="F95">
        <v>19</v>
      </c>
      <c r="G95" t="b">
        <v>0</v>
      </c>
      <c r="H95">
        <v>2</v>
      </c>
      <c r="I95">
        <v>2</v>
      </c>
      <c r="J95">
        <v>0.22</v>
      </c>
      <c r="K95">
        <v>0.2273</v>
      </c>
      <c r="L95">
        <v>0.8</v>
      </c>
      <c r="M95">
        <v>0.1343</v>
      </c>
      <c r="N95">
        <v>1</v>
      </c>
      <c r="O95">
        <v>98</v>
      </c>
      <c r="P95">
        <v>99</v>
      </c>
    </row>
    <row r="96" spans="1:16" x14ac:dyDescent="0.3">
      <c r="A96">
        <v>513</v>
      </c>
      <c r="B96" s="1">
        <v>40566</v>
      </c>
      <c r="C96">
        <v>1</v>
      </c>
      <c r="D96">
        <v>0</v>
      </c>
      <c r="E96">
        <v>1</v>
      </c>
      <c r="F96">
        <v>11</v>
      </c>
      <c r="G96" t="b">
        <v>0</v>
      </c>
      <c r="H96">
        <v>0</v>
      </c>
      <c r="I96">
        <v>1</v>
      </c>
      <c r="J96">
        <v>0.14000000000000001</v>
      </c>
      <c r="K96">
        <v>0.13639999999999999</v>
      </c>
      <c r="L96">
        <v>0.43</v>
      </c>
      <c r="M96">
        <v>0.22389999999999999</v>
      </c>
      <c r="N96">
        <v>22</v>
      </c>
      <c r="O96">
        <v>77</v>
      </c>
      <c r="P96">
        <v>99</v>
      </c>
    </row>
    <row r="97" spans="1:16" x14ac:dyDescent="0.3">
      <c r="A97">
        <v>174</v>
      </c>
      <c r="B97" s="1">
        <v>40551</v>
      </c>
      <c r="C97">
        <v>1</v>
      </c>
      <c r="D97">
        <v>0</v>
      </c>
      <c r="E97">
        <v>1</v>
      </c>
      <c r="F97">
        <v>12</v>
      </c>
      <c r="G97" t="b">
        <v>0</v>
      </c>
      <c r="H97">
        <v>6</v>
      </c>
      <c r="I97">
        <v>2</v>
      </c>
      <c r="J97">
        <v>0.2</v>
      </c>
      <c r="K97">
        <v>0.18179999999999999</v>
      </c>
      <c r="L97">
        <v>0.59</v>
      </c>
      <c r="M97">
        <v>0.35820000000000002</v>
      </c>
      <c r="N97">
        <v>8</v>
      </c>
      <c r="O97">
        <v>90</v>
      </c>
      <c r="P97">
        <v>98</v>
      </c>
    </row>
    <row r="98" spans="1:16" x14ac:dyDescent="0.3">
      <c r="A98">
        <v>445</v>
      </c>
      <c r="B98" s="1">
        <v>40563</v>
      </c>
      <c r="C98">
        <v>1</v>
      </c>
      <c r="D98">
        <v>0</v>
      </c>
      <c r="E98">
        <v>1</v>
      </c>
      <c r="F98">
        <v>13</v>
      </c>
      <c r="G98" t="b">
        <v>0</v>
      </c>
      <c r="H98">
        <v>4</v>
      </c>
      <c r="I98">
        <v>2</v>
      </c>
      <c r="J98">
        <v>0.28000000000000003</v>
      </c>
      <c r="K98">
        <v>0.28789999999999999</v>
      </c>
      <c r="L98">
        <v>0.45</v>
      </c>
      <c r="M98">
        <v>0.1045</v>
      </c>
      <c r="N98">
        <v>12</v>
      </c>
      <c r="O98">
        <v>86</v>
      </c>
      <c r="P98">
        <v>98</v>
      </c>
    </row>
    <row r="99" spans="1:16" x14ac:dyDescent="0.3">
      <c r="A99">
        <v>82</v>
      </c>
      <c r="B99" s="1">
        <v>40547</v>
      </c>
      <c r="C99">
        <v>1</v>
      </c>
      <c r="D99">
        <v>0</v>
      </c>
      <c r="E99">
        <v>1</v>
      </c>
      <c r="F99">
        <v>13</v>
      </c>
      <c r="G99" t="b">
        <v>0</v>
      </c>
      <c r="H99">
        <v>2</v>
      </c>
      <c r="I99">
        <v>1</v>
      </c>
      <c r="J99">
        <v>0.24</v>
      </c>
      <c r="K99">
        <v>0.2273</v>
      </c>
      <c r="L99">
        <v>0.56000000000000005</v>
      </c>
      <c r="M99">
        <v>0.19400000000000001</v>
      </c>
      <c r="N99">
        <v>18</v>
      </c>
      <c r="O99">
        <v>79</v>
      </c>
      <c r="P99">
        <v>97</v>
      </c>
    </row>
    <row r="100" spans="1:16" x14ac:dyDescent="0.3">
      <c r="A100">
        <v>472</v>
      </c>
      <c r="B100" s="1">
        <v>40564</v>
      </c>
      <c r="C100">
        <v>1</v>
      </c>
      <c r="D100">
        <v>0</v>
      </c>
      <c r="E100">
        <v>1</v>
      </c>
      <c r="F100">
        <v>16</v>
      </c>
      <c r="G100" t="b">
        <v>0</v>
      </c>
      <c r="H100">
        <v>5</v>
      </c>
      <c r="I100">
        <v>1</v>
      </c>
      <c r="J100">
        <v>0.16</v>
      </c>
      <c r="K100">
        <v>0.13639999999999999</v>
      </c>
      <c r="L100">
        <v>0.26</v>
      </c>
      <c r="M100">
        <v>0.35820000000000002</v>
      </c>
      <c r="N100">
        <v>0</v>
      </c>
      <c r="O100">
        <v>97</v>
      </c>
      <c r="P100">
        <v>97</v>
      </c>
    </row>
    <row r="101" spans="1:16" x14ac:dyDescent="0.3">
      <c r="A101">
        <v>475</v>
      </c>
      <c r="B101" s="1">
        <v>40564</v>
      </c>
      <c r="C101">
        <v>1</v>
      </c>
      <c r="D101">
        <v>0</v>
      </c>
      <c r="E101">
        <v>1</v>
      </c>
      <c r="F101">
        <v>19</v>
      </c>
      <c r="G101" t="b">
        <v>0</v>
      </c>
      <c r="H101">
        <v>5</v>
      </c>
      <c r="I101">
        <v>1</v>
      </c>
      <c r="J101">
        <v>0.12</v>
      </c>
      <c r="K101">
        <v>0.1061</v>
      </c>
      <c r="L101">
        <v>0.3</v>
      </c>
      <c r="M101">
        <v>0.32840000000000003</v>
      </c>
      <c r="N101">
        <v>3</v>
      </c>
      <c r="O101">
        <v>93</v>
      </c>
      <c r="P101">
        <v>96</v>
      </c>
    </row>
    <row r="102" spans="1:16" x14ac:dyDescent="0.3">
      <c r="A102">
        <v>122</v>
      </c>
      <c r="B102" s="1">
        <v>40549</v>
      </c>
      <c r="C102">
        <v>1</v>
      </c>
      <c r="D102">
        <v>0</v>
      </c>
      <c r="E102">
        <v>1</v>
      </c>
      <c r="F102">
        <v>7</v>
      </c>
      <c r="G102" t="b">
        <v>0</v>
      </c>
      <c r="H102">
        <v>4</v>
      </c>
      <c r="I102">
        <v>2</v>
      </c>
      <c r="J102">
        <v>0.16</v>
      </c>
      <c r="K102">
        <v>0.2273</v>
      </c>
      <c r="L102">
        <v>0.59</v>
      </c>
      <c r="M102">
        <v>0</v>
      </c>
      <c r="N102">
        <v>0</v>
      </c>
      <c r="O102">
        <v>95</v>
      </c>
      <c r="P102">
        <v>95</v>
      </c>
    </row>
    <row r="103" spans="1:16" x14ac:dyDescent="0.3">
      <c r="A103">
        <v>157</v>
      </c>
      <c r="B103" s="1">
        <v>40550</v>
      </c>
      <c r="C103">
        <v>1</v>
      </c>
      <c r="D103">
        <v>0</v>
      </c>
      <c r="E103">
        <v>1</v>
      </c>
      <c r="F103">
        <v>19</v>
      </c>
      <c r="G103" t="b">
        <v>0</v>
      </c>
      <c r="H103">
        <v>5</v>
      </c>
      <c r="I103">
        <v>1</v>
      </c>
      <c r="J103">
        <v>0.16</v>
      </c>
      <c r="K103">
        <v>0.19700000000000001</v>
      </c>
      <c r="L103">
        <v>0.55000000000000004</v>
      </c>
      <c r="M103">
        <v>8.9599999999999999E-2</v>
      </c>
      <c r="N103">
        <v>3</v>
      </c>
      <c r="O103">
        <v>92</v>
      </c>
      <c r="P103">
        <v>95</v>
      </c>
    </row>
    <row r="104" spans="1:16" x14ac:dyDescent="0.3">
      <c r="A104">
        <v>176</v>
      </c>
      <c r="B104" s="1">
        <v>40551</v>
      </c>
      <c r="C104">
        <v>1</v>
      </c>
      <c r="D104">
        <v>0</v>
      </c>
      <c r="E104">
        <v>1</v>
      </c>
      <c r="F104">
        <v>14</v>
      </c>
      <c r="G104" t="b">
        <v>0</v>
      </c>
      <c r="H104">
        <v>6</v>
      </c>
      <c r="I104">
        <v>1</v>
      </c>
      <c r="J104">
        <v>0.2</v>
      </c>
      <c r="K104">
        <v>0.16669999999999999</v>
      </c>
      <c r="L104">
        <v>0.32</v>
      </c>
      <c r="M104">
        <v>0.49249999999999999</v>
      </c>
      <c r="N104">
        <v>12</v>
      </c>
      <c r="O104">
        <v>83</v>
      </c>
      <c r="P104">
        <v>95</v>
      </c>
    </row>
    <row r="105" spans="1:16" x14ac:dyDescent="0.3">
      <c r="A105">
        <v>229</v>
      </c>
      <c r="B105" s="1">
        <v>40553</v>
      </c>
      <c r="C105">
        <v>1</v>
      </c>
      <c r="D105">
        <v>0</v>
      </c>
      <c r="E105">
        <v>1</v>
      </c>
      <c r="F105">
        <v>19</v>
      </c>
      <c r="G105" t="b">
        <v>0</v>
      </c>
      <c r="H105">
        <v>1</v>
      </c>
      <c r="I105">
        <v>1</v>
      </c>
      <c r="J105">
        <v>0.16</v>
      </c>
      <c r="K105">
        <v>0.16669999999999999</v>
      </c>
      <c r="L105">
        <v>0.47</v>
      </c>
      <c r="M105">
        <v>0.16420000000000001</v>
      </c>
      <c r="N105">
        <v>3</v>
      </c>
      <c r="O105">
        <v>92</v>
      </c>
      <c r="P105">
        <v>95</v>
      </c>
    </row>
    <row r="106" spans="1:16" x14ac:dyDescent="0.3">
      <c r="A106">
        <v>250</v>
      </c>
      <c r="B106" s="1">
        <v>40554</v>
      </c>
      <c r="C106">
        <v>1</v>
      </c>
      <c r="D106">
        <v>0</v>
      </c>
      <c r="E106">
        <v>1</v>
      </c>
      <c r="F106">
        <v>18</v>
      </c>
      <c r="G106" t="b">
        <v>0</v>
      </c>
      <c r="H106">
        <v>2</v>
      </c>
      <c r="I106">
        <v>3</v>
      </c>
      <c r="J106">
        <v>0.16</v>
      </c>
      <c r="K106">
        <v>0.18179999999999999</v>
      </c>
      <c r="L106">
        <v>0.93</v>
      </c>
      <c r="M106">
        <v>0.1045</v>
      </c>
      <c r="N106">
        <v>1</v>
      </c>
      <c r="O106">
        <v>94</v>
      </c>
      <c r="P106">
        <v>95</v>
      </c>
    </row>
    <row r="107" spans="1:16" x14ac:dyDescent="0.3">
      <c r="A107">
        <v>14</v>
      </c>
      <c r="B107" s="1">
        <v>40544</v>
      </c>
      <c r="C107">
        <v>1</v>
      </c>
      <c r="D107">
        <v>0</v>
      </c>
      <c r="E107">
        <v>1</v>
      </c>
      <c r="F107">
        <v>13</v>
      </c>
      <c r="G107" t="b">
        <v>0</v>
      </c>
      <c r="H107">
        <v>6</v>
      </c>
      <c r="I107">
        <v>2</v>
      </c>
      <c r="J107">
        <v>0.46</v>
      </c>
      <c r="K107">
        <v>0.45450000000000002</v>
      </c>
      <c r="L107">
        <v>0.72</v>
      </c>
      <c r="M107">
        <v>0.29849999999999999</v>
      </c>
      <c r="N107">
        <v>47</v>
      </c>
      <c r="O107">
        <v>47</v>
      </c>
      <c r="P107">
        <v>94</v>
      </c>
    </row>
    <row r="108" spans="1:16" x14ac:dyDescent="0.3">
      <c r="A108">
        <v>76</v>
      </c>
      <c r="B108" s="1">
        <v>40547</v>
      </c>
      <c r="C108">
        <v>1</v>
      </c>
      <c r="D108">
        <v>0</v>
      </c>
      <c r="E108">
        <v>1</v>
      </c>
      <c r="F108">
        <v>7</v>
      </c>
      <c r="G108" t="b">
        <v>0</v>
      </c>
      <c r="H108">
        <v>2</v>
      </c>
      <c r="I108">
        <v>1</v>
      </c>
      <c r="J108">
        <v>0.12</v>
      </c>
      <c r="K108">
        <v>0.1515</v>
      </c>
      <c r="L108">
        <v>0.74</v>
      </c>
      <c r="M108">
        <v>0.1343</v>
      </c>
      <c r="N108">
        <v>2</v>
      </c>
      <c r="O108">
        <v>92</v>
      </c>
      <c r="P108">
        <v>94</v>
      </c>
    </row>
    <row r="109" spans="1:16" x14ac:dyDescent="0.3">
      <c r="A109">
        <v>219</v>
      </c>
      <c r="B109" s="1">
        <v>40553</v>
      </c>
      <c r="C109">
        <v>1</v>
      </c>
      <c r="D109">
        <v>0</v>
      </c>
      <c r="E109">
        <v>1</v>
      </c>
      <c r="F109">
        <v>9</v>
      </c>
      <c r="G109" t="b">
        <v>0</v>
      </c>
      <c r="H109">
        <v>1</v>
      </c>
      <c r="I109">
        <v>2</v>
      </c>
      <c r="J109">
        <v>0.14000000000000001</v>
      </c>
      <c r="K109">
        <v>0.1212</v>
      </c>
      <c r="L109">
        <v>0.5</v>
      </c>
      <c r="M109">
        <v>0.25369999999999998</v>
      </c>
      <c r="N109">
        <v>2</v>
      </c>
      <c r="O109">
        <v>92</v>
      </c>
      <c r="P109">
        <v>94</v>
      </c>
    </row>
    <row r="110" spans="1:16" x14ac:dyDescent="0.3">
      <c r="A110">
        <v>17</v>
      </c>
      <c r="B110" s="1">
        <v>40544</v>
      </c>
      <c r="C110">
        <v>1</v>
      </c>
      <c r="D110">
        <v>0</v>
      </c>
      <c r="E110">
        <v>1</v>
      </c>
      <c r="F110">
        <v>16</v>
      </c>
      <c r="G110" t="b">
        <v>0</v>
      </c>
      <c r="H110">
        <v>6</v>
      </c>
      <c r="I110">
        <v>2</v>
      </c>
      <c r="J110">
        <v>0.42</v>
      </c>
      <c r="K110">
        <v>0.42420000000000002</v>
      </c>
      <c r="L110">
        <v>0.82</v>
      </c>
      <c r="M110">
        <v>0.29849999999999999</v>
      </c>
      <c r="N110">
        <v>41</v>
      </c>
      <c r="O110">
        <v>52</v>
      </c>
      <c r="P110">
        <v>93</v>
      </c>
    </row>
    <row r="111" spans="1:16" x14ac:dyDescent="0.3">
      <c r="A111">
        <v>36</v>
      </c>
      <c r="B111" s="1">
        <v>40545</v>
      </c>
      <c r="C111">
        <v>1</v>
      </c>
      <c r="D111">
        <v>0</v>
      </c>
      <c r="E111">
        <v>1</v>
      </c>
      <c r="F111">
        <v>12</v>
      </c>
      <c r="G111" t="b">
        <v>0</v>
      </c>
      <c r="H111">
        <v>0</v>
      </c>
      <c r="I111">
        <v>2</v>
      </c>
      <c r="J111">
        <v>0.36</v>
      </c>
      <c r="K111">
        <v>0.33329999999999999</v>
      </c>
      <c r="L111">
        <v>0.66</v>
      </c>
      <c r="M111">
        <v>0.29849999999999999</v>
      </c>
      <c r="N111">
        <v>20</v>
      </c>
      <c r="O111">
        <v>73</v>
      </c>
      <c r="P111">
        <v>93</v>
      </c>
    </row>
    <row r="112" spans="1:16" x14ac:dyDescent="0.3">
      <c r="A112">
        <v>360</v>
      </c>
      <c r="B112" s="1">
        <v>40559</v>
      </c>
      <c r="C112">
        <v>1</v>
      </c>
      <c r="D112">
        <v>0</v>
      </c>
      <c r="E112">
        <v>1</v>
      </c>
      <c r="F112">
        <v>11</v>
      </c>
      <c r="G112" t="b">
        <v>0</v>
      </c>
      <c r="H112">
        <v>0</v>
      </c>
      <c r="I112">
        <v>1</v>
      </c>
      <c r="J112">
        <v>0.24</v>
      </c>
      <c r="K112">
        <v>0.2273</v>
      </c>
      <c r="L112">
        <v>0.44</v>
      </c>
      <c r="M112">
        <v>0.25369999999999998</v>
      </c>
      <c r="N112">
        <v>23</v>
      </c>
      <c r="O112">
        <v>70</v>
      </c>
      <c r="P112">
        <v>93</v>
      </c>
    </row>
    <row r="113" spans="1:16" x14ac:dyDescent="0.3">
      <c r="A113">
        <v>386</v>
      </c>
      <c r="B113" s="1">
        <v>40560</v>
      </c>
      <c r="C113">
        <v>1</v>
      </c>
      <c r="D113">
        <v>0</v>
      </c>
      <c r="E113">
        <v>1</v>
      </c>
      <c r="F113">
        <v>13</v>
      </c>
      <c r="G113" t="b">
        <v>1</v>
      </c>
      <c r="H113">
        <v>1</v>
      </c>
      <c r="I113">
        <v>2</v>
      </c>
      <c r="J113">
        <v>0.18</v>
      </c>
      <c r="K113">
        <v>0.19700000000000001</v>
      </c>
      <c r="L113">
        <v>0.47</v>
      </c>
      <c r="M113">
        <v>0.1343</v>
      </c>
      <c r="N113">
        <v>13</v>
      </c>
      <c r="O113">
        <v>80</v>
      </c>
      <c r="P113">
        <v>93</v>
      </c>
    </row>
    <row r="114" spans="1:16" x14ac:dyDescent="0.3">
      <c r="A114">
        <v>388</v>
      </c>
      <c r="B114" s="1">
        <v>40560</v>
      </c>
      <c r="C114">
        <v>1</v>
      </c>
      <c r="D114">
        <v>0</v>
      </c>
      <c r="E114">
        <v>1</v>
      </c>
      <c r="F114">
        <v>15</v>
      </c>
      <c r="G114" t="b">
        <v>1</v>
      </c>
      <c r="H114">
        <v>1</v>
      </c>
      <c r="I114">
        <v>2</v>
      </c>
      <c r="J114">
        <v>0.2</v>
      </c>
      <c r="K114">
        <v>0.21210000000000001</v>
      </c>
      <c r="L114">
        <v>0.47</v>
      </c>
      <c r="M114">
        <v>0.16420000000000001</v>
      </c>
      <c r="N114">
        <v>21</v>
      </c>
      <c r="O114">
        <v>72</v>
      </c>
      <c r="P114">
        <v>93</v>
      </c>
    </row>
    <row r="115" spans="1:16" x14ac:dyDescent="0.3">
      <c r="A115">
        <v>561</v>
      </c>
      <c r="B115" s="1">
        <v>40568</v>
      </c>
      <c r="C115">
        <v>1</v>
      </c>
      <c r="D115">
        <v>0</v>
      </c>
      <c r="E115">
        <v>1</v>
      </c>
      <c r="F115">
        <v>13</v>
      </c>
      <c r="G115" t="b">
        <v>0</v>
      </c>
      <c r="H115">
        <v>2</v>
      </c>
      <c r="I115">
        <v>2</v>
      </c>
      <c r="J115">
        <v>0.26</v>
      </c>
      <c r="K115">
        <v>0.2727</v>
      </c>
      <c r="L115">
        <v>0.56000000000000005</v>
      </c>
      <c r="M115">
        <v>0.1343</v>
      </c>
      <c r="N115">
        <v>21</v>
      </c>
      <c r="O115">
        <v>72</v>
      </c>
      <c r="P115">
        <v>93</v>
      </c>
    </row>
    <row r="116" spans="1:16" x14ac:dyDescent="0.3">
      <c r="A116">
        <v>202</v>
      </c>
      <c r="B116" s="1">
        <v>40552</v>
      </c>
      <c r="C116">
        <v>1</v>
      </c>
      <c r="D116">
        <v>0</v>
      </c>
      <c r="E116">
        <v>1</v>
      </c>
      <c r="F116">
        <v>16</v>
      </c>
      <c r="G116" t="b">
        <v>0</v>
      </c>
      <c r="H116">
        <v>0</v>
      </c>
      <c r="I116">
        <v>1</v>
      </c>
      <c r="J116">
        <v>0.2</v>
      </c>
      <c r="K116">
        <v>0.16669999999999999</v>
      </c>
      <c r="L116">
        <v>0.34</v>
      </c>
      <c r="M116">
        <v>0.44779999999999998</v>
      </c>
      <c r="N116">
        <v>13</v>
      </c>
      <c r="O116">
        <v>79</v>
      </c>
      <c r="P116">
        <v>92</v>
      </c>
    </row>
    <row r="117" spans="1:16" x14ac:dyDescent="0.3">
      <c r="A117">
        <v>320</v>
      </c>
      <c r="B117" s="1">
        <v>40557</v>
      </c>
      <c r="C117">
        <v>1</v>
      </c>
      <c r="D117">
        <v>0</v>
      </c>
      <c r="E117">
        <v>1</v>
      </c>
      <c r="F117">
        <v>19</v>
      </c>
      <c r="G117" t="b">
        <v>0</v>
      </c>
      <c r="H117">
        <v>5</v>
      </c>
      <c r="I117">
        <v>1</v>
      </c>
      <c r="J117">
        <v>0.16</v>
      </c>
      <c r="K117">
        <v>0.19700000000000001</v>
      </c>
      <c r="L117">
        <v>0.59</v>
      </c>
      <c r="M117">
        <v>8.9599999999999999E-2</v>
      </c>
      <c r="N117">
        <v>3</v>
      </c>
      <c r="O117">
        <v>89</v>
      </c>
      <c r="P117">
        <v>92</v>
      </c>
    </row>
    <row r="118" spans="1:16" x14ac:dyDescent="0.3">
      <c r="A118">
        <v>391</v>
      </c>
      <c r="B118" s="1">
        <v>40560</v>
      </c>
      <c r="C118">
        <v>1</v>
      </c>
      <c r="D118">
        <v>0</v>
      </c>
      <c r="E118">
        <v>1</v>
      </c>
      <c r="F118">
        <v>18</v>
      </c>
      <c r="G118" t="b">
        <v>1</v>
      </c>
      <c r="H118">
        <v>1</v>
      </c>
      <c r="I118">
        <v>2</v>
      </c>
      <c r="J118">
        <v>0.18</v>
      </c>
      <c r="K118">
        <v>0.16669999999999999</v>
      </c>
      <c r="L118">
        <v>0.55000000000000004</v>
      </c>
      <c r="M118">
        <v>0.25369999999999998</v>
      </c>
      <c r="N118">
        <v>7</v>
      </c>
      <c r="O118">
        <v>85</v>
      </c>
      <c r="P118">
        <v>92</v>
      </c>
    </row>
    <row r="119" spans="1:16" x14ac:dyDescent="0.3">
      <c r="A119">
        <v>363</v>
      </c>
      <c r="B119" s="1">
        <v>40559</v>
      </c>
      <c r="C119">
        <v>1</v>
      </c>
      <c r="D119">
        <v>0</v>
      </c>
      <c r="E119">
        <v>1</v>
      </c>
      <c r="F119">
        <v>14</v>
      </c>
      <c r="G119" t="b">
        <v>0</v>
      </c>
      <c r="H119">
        <v>0</v>
      </c>
      <c r="I119">
        <v>1</v>
      </c>
      <c r="J119">
        <v>0.28000000000000003</v>
      </c>
      <c r="K119">
        <v>0.2727</v>
      </c>
      <c r="L119">
        <v>0.36</v>
      </c>
      <c r="M119">
        <v>0.25369999999999998</v>
      </c>
      <c r="N119">
        <v>22</v>
      </c>
      <c r="O119">
        <v>69</v>
      </c>
      <c r="P119">
        <v>91</v>
      </c>
    </row>
    <row r="120" spans="1:16" x14ac:dyDescent="0.3">
      <c r="A120">
        <v>448</v>
      </c>
      <c r="B120" s="1">
        <v>40563</v>
      </c>
      <c r="C120">
        <v>1</v>
      </c>
      <c r="D120">
        <v>0</v>
      </c>
      <c r="E120">
        <v>1</v>
      </c>
      <c r="F120">
        <v>16</v>
      </c>
      <c r="G120" t="b">
        <v>0</v>
      </c>
      <c r="H120">
        <v>4</v>
      </c>
      <c r="I120">
        <v>2</v>
      </c>
      <c r="J120">
        <v>0.3</v>
      </c>
      <c r="K120">
        <v>0.30299999999999999</v>
      </c>
      <c r="L120">
        <v>0.49</v>
      </c>
      <c r="M120">
        <v>0.1343</v>
      </c>
      <c r="N120">
        <v>8</v>
      </c>
      <c r="O120">
        <v>83</v>
      </c>
      <c r="P120">
        <v>91</v>
      </c>
    </row>
    <row r="121" spans="1:16" x14ac:dyDescent="0.3">
      <c r="A121">
        <v>317</v>
      </c>
      <c r="B121" s="1">
        <v>40557</v>
      </c>
      <c r="C121">
        <v>1</v>
      </c>
      <c r="D121">
        <v>0</v>
      </c>
      <c r="E121">
        <v>1</v>
      </c>
      <c r="F121">
        <v>16</v>
      </c>
      <c r="G121" t="b">
        <v>0</v>
      </c>
      <c r="H121">
        <v>5</v>
      </c>
      <c r="I121">
        <v>1</v>
      </c>
      <c r="J121">
        <v>0.22</v>
      </c>
      <c r="K121">
        <v>0.2424</v>
      </c>
      <c r="L121">
        <v>0.41</v>
      </c>
      <c r="M121">
        <v>0.1045</v>
      </c>
      <c r="N121">
        <v>3</v>
      </c>
      <c r="O121">
        <v>87</v>
      </c>
      <c r="P121">
        <v>90</v>
      </c>
    </row>
    <row r="122" spans="1:16" x14ac:dyDescent="0.3">
      <c r="A122">
        <v>415</v>
      </c>
      <c r="B122" s="1">
        <v>40562</v>
      </c>
      <c r="C122">
        <v>1</v>
      </c>
      <c r="D122">
        <v>0</v>
      </c>
      <c r="E122">
        <v>1</v>
      </c>
      <c r="F122">
        <v>7</v>
      </c>
      <c r="G122" t="b">
        <v>0</v>
      </c>
      <c r="H122">
        <v>3</v>
      </c>
      <c r="I122">
        <v>2</v>
      </c>
      <c r="J122">
        <v>0.24</v>
      </c>
      <c r="K122">
        <v>0.2576</v>
      </c>
      <c r="L122">
        <v>0.92</v>
      </c>
      <c r="M122">
        <v>0.1045</v>
      </c>
      <c r="N122">
        <v>1</v>
      </c>
      <c r="O122">
        <v>89</v>
      </c>
      <c r="P122">
        <v>90</v>
      </c>
    </row>
    <row r="123" spans="1:16" x14ac:dyDescent="0.3">
      <c r="A123">
        <v>108</v>
      </c>
      <c r="B123" s="1">
        <v>40548</v>
      </c>
      <c r="C123">
        <v>1</v>
      </c>
      <c r="D123">
        <v>0</v>
      </c>
      <c r="E123">
        <v>1</v>
      </c>
      <c r="F123">
        <v>16</v>
      </c>
      <c r="G123" t="b">
        <v>0</v>
      </c>
      <c r="H123">
        <v>3</v>
      </c>
      <c r="I123">
        <v>1</v>
      </c>
      <c r="J123">
        <v>0.3</v>
      </c>
      <c r="K123">
        <v>0.31819999999999998</v>
      </c>
      <c r="L123">
        <v>0.28000000000000003</v>
      </c>
      <c r="M123">
        <v>8.9599999999999999E-2</v>
      </c>
      <c r="N123">
        <v>4</v>
      </c>
      <c r="O123">
        <v>85</v>
      </c>
      <c r="P123">
        <v>89</v>
      </c>
    </row>
    <row r="124" spans="1:16" x14ac:dyDescent="0.3">
      <c r="A124">
        <v>112</v>
      </c>
      <c r="B124" s="1">
        <v>40548</v>
      </c>
      <c r="C124">
        <v>1</v>
      </c>
      <c r="D124">
        <v>0</v>
      </c>
      <c r="E124">
        <v>1</v>
      </c>
      <c r="F124">
        <v>20</v>
      </c>
      <c r="G124" t="b">
        <v>0</v>
      </c>
      <c r="H124">
        <v>3</v>
      </c>
      <c r="I124">
        <v>1</v>
      </c>
      <c r="J124">
        <v>0.22</v>
      </c>
      <c r="K124">
        <v>0.2273</v>
      </c>
      <c r="L124">
        <v>0.47</v>
      </c>
      <c r="M124">
        <v>0.16420000000000001</v>
      </c>
      <c r="N124">
        <v>7</v>
      </c>
      <c r="O124">
        <v>82</v>
      </c>
      <c r="P124">
        <v>89</v>
      </c>
    </row>
    <row r="125" spans="1:16" x14ac:dyDescent="0.3">
      <c r="A125">
        <v>337</v>
      </c>
      <c r="B125" s="1">
        <v>40558</v>
      </c>
      <c r="C125">
        <v>1</v>
      </c>
      <c r="D125">
        <v>0</v>
      </c>
      <c r="E125">
        <v>1</v>
      </c>
      <c r="F125">
        <v>12</v>
      </c>
      <c r="G125" t="b">
        <v>0</v>
      </c>
      <c r="H125">
        <v>6</v>
      </c>
      <c r="I125">
        <v>1</v>
      </c>
      <c r="J125">
        <v>0.24</v>
      </c>
      <c r="K125">
        <v>0.2273</v>
      </c>
      <c r="L125">
        <v>0.48</v>
      </c>
      <c r="M125">
        <v>0.22389999999999999</v>
      </c>
      <c r="N125">
        <v>15</v>
      </c>
      <c r="O125">
        <v>74</v>
      </c>
      <c r="P125">
        <v>89</v>
      </c>
    </row>
    <row r="126" spans="1:16" x14ac:dyDescent="0.3">
      <c r="A126">
        <v>55</v>
      </c>
      <c r="B126" s="1">
        <v>40546</v>
      </c>
      <c r="C126">
        <v>1</v>
      </c>
      <c r="D126">
        <v>0</v>
      </c>
      <c r="E126">
        <v>1</v>
      </c>
      <c r="F126">
        <v>9</v>
      </c>
      <c r="G126" t="b">
        <v>0</v>
      </c>
      <c r="H126">
        <v>1</v>
      </c>
      <c r="I126">
        <v>1</v>
      </c>
      <c r="J126">
        <v>0.16</v>
      </c>
      <c r="K126">
        <v>0.13639999999999999</v>
      </c>
      <c r="L126">
        <v>0.43</v>
      </c>
      <c r="M126">
        <v>0.3881</v>
      </c>
      <c r="N126">
        <v>7</v>
      </c>
      <c r="O126">
        <v>81</v>
      </c>
      <c r="P126">
        <v>88</v>
      </c>
    </row>
    <row r="127" spans="1:16" x14ac:dyDescent="0.3">
      <c r="A127">
        <v>99</v>
      </c>
      <c r="B127" s="1">
        <v>40548</v>
      </c>
      <c r="C127">
        <v>1</v>
      </c>
      <c r="D127">
        <v>0</v>
      </c>
      <c r="E127">
        <v>1</v>
      </c>
      <c r="F127">
        <v>7</v>
      </c>
      <c r="G127" t="b">
        <v>0</v>
      </c>
      <c r="H127">
        <v>3</v>
      </c>
      <c r="I127">
        <v>1</v>
      </c>
      <c r="J127">
        <v>0.18</v>
      </c>
      <c r="K127">
        <v>0.18179999999999999</v>
      </c>
      <c r="L127">
        <v>0.43</v>
      </c>
      <c r="M127">
        <v>0.19400000000000001</v>
      </c>
      <c r="N127">
        <v>1</v>
      </c>
      <c r="O127">
        <v>87</v>
      </c>
      <c r="P127">
        <v>88</v>
      </c>
    </row>
    <row r="128" spans="1:16" x14ac:dyDescent="0.3">
      <c r="A128">
        <v>154</v>
      </c>
      <c r="B128" s="1">
        <v>40550</v>
      </c>
      <c r="C128">
        <v>1</v>
      </c>
      <c r="D128">
        <v>0</v>
      </c>
      <c r="E128">
        <v>1</v>
      </c>
      <c r="F128">
        <v>16</v>
      </c>
      <c r="G128" t="b">
        <v>0</v>
      </c>
      <c r="H128">
        <v>5</v>
      </c>
      <c r="I128">
        <v>2</v>
      </c>
      <c r="J128">
        <v>0.2</v>
      </c>
      <c r="K128">
        <v>0.21210000000000001</v>
      </c>
      <c r="L128">
        <v>0.37</v>
      </c>
      <c r="M128">
        <v>0.16420000000000001</v>
      </c>
      <c r="N128">
        <v>5</v>
      </c>
      <c r="O128">
        <v>82</v>
      </c>
      <c r="P128">
        <v>87</v>
      </c>
    </row>
    <row r="129" spans="1:16" x14ac:dyDescent="0.3">
      <c r="A129">
        <v>515</v>
      </c>
      <c r="B129" s="1">
        <v>40566</v>
      </c>
      <c r="C129">
        <v>1</v>
      </c>
      <c r="D129">
        <v>0</v>
      </c>
      <c r="E129">
        <v>1</v>
      </c>
      <c r="F129">
        <v>13</v>
      </c>
      <c r="G129" t="b">
        <v>0</v>
      </c>
      <c r="H129">
        <v>0</v>
      </c>
      <c r="I129">
        <v>1</v>
      </c>
      <c r="J129">
        <v>0.14000000000000001</v>
      </c>
      <c r="K129">
        <v>0.1061</v>
      </c>
      <c r="L129">
        <v>0.33</v>
      </c>
      <c r="M129">
        <v>0.3881</v>
      </c>
      <c r="N129">
        <v>12</v>
      </c>
      <c r="O129">
        <v>75</v>
      </c>
      <c r="P129">
        <v>87</v>
      </c>
    </row>
    <row r="130" spans="1:16" x14ac:dyDescent="0.3">
      <c r="A130">
        <v>131</v>
      </c>
      <c r="B130" s="1">
        <v>40549</v>
      </c>
      <c r="C130">
        <v>1</v>
      </c>
      <c r="D130">
        <v>0</v>
      </c>
      <c r="E130">
        <v>1</v>
      </c>
      <c r="F130">
        <v>16</v>
      </c>
      <c r="G130" t="b">
        <v>0</v>
      </c>
      <c r="H130">
        <v>4</v>
      </c>
      <c r="I130">
        <v>1</v>
      </c>
      <c r="J130">
        <v>0.26</v>
      </c>
      <c r="K130">
        <v>0.2576</v>
      </c>
      <c r="L130">
        <v>0.38</v>
      </c>
      <c r="M130">
        <v>0.16420000000000001</v>
      </c>
      <c r="N130">
        <v>12</v>
      </c>
      <c r="O130">
        <v>74</v>
      </c>
      <c r="P130">
        <v>86</v>
      </c>
    </row>
    <row r="131" spans="1:16" x14ac:dyDescent="0.3">
      <c r="A131">
        <v>387</v>
      </c>
      <c r="B131" s="1">
        <v>40560</v>
      </c>
      <c r="C131">
        <v>1</v>
      </c>
      <c r="D131">
        <v>0</v>
      </c>
      <c r="E131">
        <v>1</v>
      </c>
      <c r="F131">
        <v>14</v>
      </c>
      <c r="G131" t="b">
        <v>1</v>
      </c>
      <c r="H131">
        <v>1</v>
      </c>
      <c r="I131">
        <v>2</v>
      </c>
      <c r="J131">
        <v>0.18</v>
      </c>
      <c r="K131">
        <v>0.21210000000000001</v>
      </c>
      <c r="L131">
        <v>0.43</v>
      </c>
      <c r="M131">
        <v>0.1045</v>
      </c>
      <c r="N131">
        <v>12</v>
      </c>
      <c r="O131">
        <v>74</v>
      </c>
      <c r="P131">
        <v>86</v>
      </c>
    </row>
    <row r="132" spans="1:16" x14ac:dyDescent="0.3">
      <c r="A132">
        <v>13</v>
      </c>
      <c r="B132" s="1">
        <v>40544</v>
      </c>
      <c r="C132">
        <v>1</v>
      </c>
      <c r="D132">
        <v>0</v>
      </c>
      <c r="E132">
        <v>1</v>
      </c>
      <c r="F132">
        <v>12</v>
      </c>
      <c r="G132" t="b">
        <v>0</v>
      </c>
      <c r="H132">
        <v>6</v>
      </c>
      <c r="I132">
        <v>1</v>
      </c>
      <c r="J132">
        <v>0.42</v>
      </c>
      <c r="K132">
        <v>0.42420000000000002</v>
      </c>
      <c r="L132">
        <v>0.77</v>
      </c>
      <c r="M132">
        <v>0.28360000000000002</v>
      </c>
      <c r="N132">
        <v>29</v>
      </c>
      <c r="O132">
        <v>55</v>
      </c>
      <c r="P132">
        <v>84</v>
      </c>
    </row>
    <row r="133" spans="1:16" x14ac:dyDescent="0.3">
      <c r="A133">
        <v>127</v>
      </c>
      <c r="B133" s="1">
        <v>40549</v>
      </c>
      <c r="C133">
        <v>1</v>
      </c>
      <c r="D133">
        <v>0</v>
      </c>
      <c r="E133">
        <v>1</v>
      </c>
      <c r="F133">
        <v>12</v>
      </c>
      <c r="G133" t="b">
        <v>0</v>
      </c>
      <c r="H133">
        <v>4</v>
      </c>
      <c r="I133">
        <v>1</v>
      </c>
      <c r="J133">
        <v>0.26</v>
      </c>
      <c r="K133">
        <v>0.28789999999999999</v>
      </c>
      <c r="L133">
        <v>0.35</v>
      </c>
      <c r="M133">
        <v>0</v>
      </c>
      <c r="N133">
        <v>6</v>
      </c>
      <c r="O133">
        <v>78</v>
      </c>
      <c r="P133">
        <v>84</v>
      </c>
    </row>
    <row r="134" spans="1:16" x14ac:dyDescent="0.3">
      <c r="A134">
        <v>145</v>
      </c>
      <c r="B134" s="1">
        <v>40550</v>
      </c>
      <c r="C134">
        <v>1</v>
      </c>
      <c r="D134">
        <v>0</v>
      </c>
      <c r="E134">
        <v>1</v>
      </c>
      <c r="F134">
        <v>7</v>
      </c>
      <c r="G134" t="b">
        <v>0</v>
      </c>
      <c r="H134">
        <v>5</v>
      </c>
      <c r="I134">
        <v>1</v>
      </c>
      <c r="J134">
        <v>0.2</v>
      </c>
      <c r="K134">
        <v>0.21210000000000001</v>
      </c>
      <c r="L134">
        <v>0.69</v>
      </c>
      <c r="M134">
        <v>0.1343</v>
      </c>
      <c r="N134">
        <v>8</v>
      </c>
      <c r="O134">
        <v>76</v>
      </c>
      <c r="P134">
        <v>84</v>
      </c>
    </row>
    <row r="135" spans="1:16" x14ac:dyDescent="0.3">
      <c r="A135">
        <v>343</v>
      </c>
      <c r="B135" s="1">
        <v>40558</v>
      </c>
      <c r="C135">
        <v>1</v>
      </c>
      <c r="D135">
        <v>0</v>
      </c>
      <c r="E135">
        <v>1</v>
      </c>
      <c r="F135">
        <v>18</v>
      </c>
      <c r="G135" t="b">
        <v>0</v>
      </c>
      <c r="H135">
        <v>6</v>
      </c>
      <c r="I135">
        <v>2</v>
      </c>
      <c r="J135">
        <v>0.3</v>
      </c>
      <c r="K135">
        <v>0.28789999999999999</v>
      </c>
      <c r="L135">
        <v>0.45</v>
      </c>
      <c r="M135">
        <v>0.25369999999999998</v>
      </c>
      <c r="N135">
        <v>15</v>
      </c>
      <c r="O135">
        <v>69</v>
      </c>
      <c r="P135">
        <v>84</v>
      </c>
    </row>
    <row r="136" spans="1:16" x14ac:dyDescent="0.3">
      <c r="A136">
        <v>444</v>
      </c>
      <c r="B136" s="1">
        <v>40563</v>
      </c>
      <c r="C136">
        <v>1</v>
      </c>
      <c r="D136">
        <v>0</v>
      </c>
      <c r="E136">
        <v>1</v>
      </c>
      <c r="F136">
        <v>12</v>
      </c>
      <c r="G136" t="b">
        <v>0</v>
      </c>
      <c r="H136">
        <v>4</v>
      </c>
      <c r="I136">
        <v>2</v>
      </c>
      <c r="J136">
        <v>0.3</v>
      </c>
      <c r="K136">
        <v>0.33329999999999999</v>
      </c>
      <c r="L136">
        <v>0.42</v>
      </c>
      <c r="M136">
        <v>0</v>
      </c>
      <c r="N136">
        <v>7</v>
      </c>
      <c r="O136">
        <v>77</v>
      </c>
      <c r="P136">
        <v>84</v>
      </c>
    </row>
    <row r="137" spans="1:16" x14ac:dyDescent="0.3">
      <c r="A137">
        <v>492</v>
      </c>
      <c r="B137" s="1">
        <v>40565</v>
      </c>
      <c r="C137">
        <v>1</v>
      </c>
      <c r="D137">
        <v>0</v>
      </c>
      <c r="E137">
        <v>1</v>
      </c>
      <c r="F137">
        <v>13</v>
      </c>
      <c r="G137" t="b">
        <v>0</v>
      </c>
      <c r="H137">
        <v>6</v>
      </c>
      <c r="I137">
        <v>1</v>
      </c>
      <c r="J137">
        <v>0.08</v>
      </c>
      <c r="K137">
        <v>0.16669999999999999</v>
      </c>
      <c r="L137">
        <v>0.35</v>
      </c>
      <c r="M137">
        <v>0</v>
      </c>
      <c r="N137">
        <v>12</v>
      </c>
      <c r="O137">
        <v>72</v>
      </c>
      <c r="P137">
        <v>84</v>
      </c>
    </row>
    <row r="138" spans="1:16" x14ac:dyDescent="0.3">
      <c r="A138">
        <v>532</v>
      </c>
      <c r="B138" s="1">
        <v>40567</v>
      </c>
      <c r="C138">
        <v>1</v>
      </c>
      <c r="D138">
        <v>0</v>
      </c>
      <c r="E138">
        <v>1</v>
      </c>
      <c r="F138">
        <v>7</v>
      </c>
      <c r="G138" t="b">
        <v>0</v>
      </c>
      <c r="H138">
        <v>1</v>
      </c>
      <c r="I138">
        <v>1</v>
      </c>
      <c r="J138">
        <v>0.02</v>
      </c>
      <c r="K138">
        <v>0.1212</v>
      </c>
      <c r="L138">
        <v>0.48</v>
      </c>
      <c r="M138">
        <v>0</v>
      </c>
      <c r="N138">
        <v>5</v>
      </c>
      <c r="O138">
        <v>79</v>
      </c>
      <c r="P138">
        <v>84</v>
      </c>
    </row>
    <row r="139" spans="1:16" x14ac:dyDescent="0.3">
      <c r="A139">
        <v>563</v>
      </c>
      <c r="B139" s="1">
        <v>40568</v>
      </c>
      <c r="C139">
        <v>1</v>
      </c>
      <c r="D139">
        <v>0</v>
      </c>
      <c r="E139">
        <v>1</v>
      </c>
      <c r="F139">
        <v>15</v>
      </c>
      <c r="G139" t="b">
        <v>0</v>
      </c>
      <c r="H139">
        <v>2</v>
      </c>
      <c r="I139">
        <v>2</v>
      </c>
      <c r="J139">
        <v>0.32</v>
      </c>
      <c r="K139">
        <v>0.34849999999999998</v>
      </c>
      <c r="L139">
        <v>0.42</v>
      </c>
      <c r="M139">
        <v>0</v>
      </c>
      <c r="N139">
        <v>21</v>
      </c>
      <c r="O139">
        <v>63</v>
      </c>
      <c r="P139">
        <v>84</v>
      </c>
    </row>
    <row r="140" spans="1:16" x14ac:dyDescent="0.3">
      <c r="A140">
        <v>589</v>
      </c>
      <c r="B140" s="1">
        <v>40570</v>
      </c>
      <c r="C140">
        <v>1</v>
      </c>
      <c r="D140">
        <v>0</v>
      </c>
      <c r="E140">
        <v>1</v>
      </c>
      <c r="F140">
        <v>17</v>
      </c>
      <c r="G140" t="b">
        <v>0</v>
      </c>
      <c r="H140">
        <v>4</v>
      </c>
      <c r="I140">
        <v>1</v>
      </c>
      <c r="J140">
        <v>0.22</v>
      </c>
      <c r="K140">
        <v>0.2424</v>
      </c>
      <c r="L140">
        <v>0.55000000000000004</v>
      </c>
      <c r="M140">
        <v>0.1045</v>
      </c>
      <c r="N140">
        <v>2</v>
      </c>
      <c r="O140">
        <v>82</v>
      </c>
      <c r="P140">
        <v>84</v>
      </c>
    </row>
    <row r="141" spans="1:16" x14ac:dyDescent="0.3">
      <c r="A141">
        <v>85</v>
      </c>
      <c r="B141" s="1">
        <v>40547</v>
      </c>
      <c r="C141">
        <v>1</v>
      </c>
      <c r="D141">
        <v>0</v>
      </c>
      <c r="E141">
        <v>1</v>
      </c>
      <c r="F141">
        <v>16</v>
      </c>
      <c r="G141" t="b">
        <v>0</v>
      </c>
      <c r="H141">
        <v>2</v>
      </c>
      <c r="I141">
        <v>1</v>
      </c>
      <c r="J141">
        <v>0.3</v>
      </c>
      <c r="K141">
        <v>0.28789999999999999</v>
      </c>
      <c r="L141">
        <v>0.49</v>
      </c>
      <c r="M141">
        <v>0.25369999999999998</v>
      </c>
      <c r="N141">
        <v>15</v>
      </c>
      <c r="O141">
        <v>68</v>
      </c>
      <c r="P141">
        <v>83</v>
      </c>
    </row>
    <row r="142" spans="1:16" x14ac:dyDescent="0.3">
      <c r="A142">
        <v>198</v>
      </c>
      <c r="B142" s="1">
        <v>40552</v>
      </c>
      <c r="C142">
        <v>1</v>
      </c>
      <c r="D142">
        <v>0</v>
      </c>
      <c r="E142">
        <v>1</v>
      </c>
      <c r="F142">
        <v>12</v>
      </c>
      <c r="G142" t="b">
        <v>0</v>
      </c>
      <c r="H142">
        <v>0</v>
      </c>
      <c r="I142">
        <v>1</v>
      </c>
      <c r="J142">
        <v>0.18</v>
      </c>
      <c r="K142">
        <v>0.13639999999999999</v>
      </c>
      <c r="L142">
        <v>0.37</v>
      </c>
      <c r="M142">
        <v>0.44779999999999998</v>
      </c>
      <c r="N142">
        <v>4</v>
      </c>
      <c r="O142">
        <v>79</v>
      </c>
      <c r="P142">
        <v>83</v>
      </c>
    </row>
    <row r="143" spans="1:16" x14ac:dyDescent="0.3">
      <c r="A143">
        <v>273</v>
      </c>
      <c r="B143" s="1">
        <v>40555</v>
      </c>
      <c r="C143">
        <v>1</v>
      </c>
      <c r="D143">
        <v>0</v>
      </c>
      <c r="E143">
        <v>1</v>
      </c>
      <c r="F143">
        <v>19</v>
      </c>
      <c r="G143" t="b">
        <v>0</v>
      </c>
      <c r="H143">
        <v>3</v>
      </c>
      <c r="I143">
        <v>1</v>
      </c>
      <c r="J143">
        <v>0.18</v>
      </c>
      <c r="K143">
        <v>0.1515</v>
      </c>
      <c r="L143">
        <v>0.47</v>
      </c>
      <c r="M143">
        <v>0.41789999999999999</v>
      </c>
      <c r="N143">
        <v>1</v>
      </c>
      <c r="O143">
        <v>82</v>
      </c>
      <c r="P143">
        <v>83</v>
      </c>
    </row>
    <row r="144" spans="1:16" x14ac:dyDescent="0.3">
      <c r="A144">
        <v>291</v>
      </c>
      <c r="B144" s="1">
        <v>40556</v>
      </c>
      <c r="C144">
        <v>1</v>
      </c>
      <c r="D144">
        <v>0</v>
      </c>
      <c r="E144">
        <v>1</v>
      </c>
      <c r="F144">
        <v>13</v>
      </c>
      <c r="G144" t="b">
        <v>0</v>
      </c>
      <c r="H144">
        <v>4</v>
      </c>
      <c r="I144">
        <v>1</v>
      </c>
      <c r="J144">
        <v>0.22</v>
      </c>
      <c r="K144">
        <v>0.19700000000000001</v>
      </c>
      <c r="L144">
        <v>0.41</v>
      </c>
      <c r="M144">
        <v>0.44779999999999998</v>
      </c>
      <c r="N144">
        <v>2</v>
      </c>
      <c r="O144">
        <v>81</v>
      </c>
      <c r="P144">
        <v>83</v>
      </c>
    </row>
    <row r="145" spans="1:16" x14ac:dyDescent="0.3">
      <c r="A145">
        <v>342</v>
      </c>
      <c r="B145" s="1">
        <v>40558</v>
      </c>
      <c r="C145">
        <v>1</v>
      </c>
      <c r="D145">
        <v>0</v>
      </c>
      <c r="E145">
        <v>1</v>
      </c>
      <c r="F145">
        <v>17</v>
      </c>
      <c r="G145" t="b">
        <v>0</v>
      </c>
      <c r="H145">
        <v>6</v>
      </c>
      <c r="I145">
        <v>2</v>
      </c>
      <c r="J145">
        <v>0.32</v>
      </c>
      <c r="K145">
        <v>0.30299999999999999</v>
      </c>
      <c r="L145">
        <v>0.36</v>
      </c>
      <c r="M145">
        <v>0.28360000000000002</v>
      </c>
      <c r="N145">
        <v>29</v>
      </c>
      <c r="O145">
        <v>54</v>
      </c>
      <c r="P145">
        <v>83</v>
      </c>
    </row>
    <row r="146" spans="1:16" x14ac:dyDescent="0.3">
      <c r="A146">
        <v>405</v>
      </c>
      <c r="B146" s="1">
        <v>40561</v>
      </c>
      <c r="C146">
        <v>1</v>
      </c>
      <c r="D146">
        <v>0</v>
      </c>
      <c r="E146">
        <v>1</v>
      </c>
      <c r="F146">
        <v>20</v>
      </c>
      <c r="G146" t="b">
        <v>0</v>
      </c>
      <c r="H146">
        <v>2</v>
      </c>
      <c r="I146">
        <v>2</v>
      </c>
      <c r="J146">
        <v>0.22</v>
      </c>
      <c r="K146">
        <v>0.2727</v>
      </c>
      <c r="L146">
        <v>0.87</v>
      </c>
      <c r="M146">
        <v>0</v>
      </c>
      <c r="N146">
        <v>0</v>
      </c>
      <c r="O146">
        <v>83</v>
      </c>
      <c r="P146">
        <v>83</v>
      </c>
    </row>
    <row r="147" spans="1:16" x14ac:dyDescent="0.3">
      <c r="A147">
        <v>495</v>
      </c>
      <c r="B147" s="1">
        <v>40565</v>
      </c>
      <c r="C147">
        <v>1</v>
      </c>
      <c r="D147">
        <v>0</v>
      </c>
      <c r="E147">
        <v>1</v>
      </c>
      <c r="F147">
        <v>16</v>
      </c>
      <c r="G147" t="b">
        <v>0</v>
      </c>
      <c r="H147">
        <v>6</v>
      </c>
      <c r="I147">
        <v>1</v>
      </c>
      <c r="J147">
        <v>0.12</v>
      </c>
      <c r="K147">
        <v>0.13639999999999999</v>
      </c>
      <c r="L147">
        <v>0.28000000000000003</v>
      </c>
      <c r="M147">
        <v>0.19400000000000001</v>
      </c>
      <c r="N147">
        <v>11</v>
      </c>
      <c r="O147">
        <v>72</v>
      </c>
      <c r="P147">
        <v>83</v>
      </c>
    </row>
    <row r="148" spans="1:16" x14ac:dyDescent="0.3">
      <c r="A148">
        <v>201</v>
      </c>
      <c r="B148" s="1">
        <v>40552</v>
      </c>
      <c r="C148">
        <v>1</v>
      </c>
      <c r="D148">
        <v>0</v>
      </c>
      <c r="E148">
        <v>1</v>
      </c>
      <c r="F148">
        <v>15</v>
      </c>
      <c r="G148" t="b">
        <v>0</v>
      </c>
      <c r="H148">
        <v>0</v>
      </c>
      <c r="I148">
        <v>1</v>
      </c>
      <c r="J148">
        <v>0.22</v>
      </c>
      <c r="K148">
        <v>0.19700000000000001</v>
      </c>
      <c r="L148">
        <v>0.35</v>
      </c>
      <c r="M148">
        <v>0.35820000000000002</v>
      </c>
      <c r="N148">
        <v>5</v>
      </c>
      <c r="O148">
        <v>77</v>
      </c>
      <c r="P148">
        <v>82</v>
      </c>
    </row>
    <row r="149" spans="1:16" x14ac:dyDescent="0.3">
      <c r="A149">
        <v>389</v>
      </c>
      <c r="B149" s="1">
        <v>40560</v>
      </c>
      <c r="C149">
        <v>1</v>
      </c>
      <c r="D149">
        <v>0</v>
      </c>
      <c r="E149">
        <v>1</v>
      </c>
      <c r="F149">
        <v>16</v>
      </c>
      <c r="G149" t="b">
        <v>1</v>
      </c>
      <c r="H149">
        <v>1</v>
      </c>
      <c r="I149">
        <v>2</v>
      </c>
      <c r="J149">
        <v>0.2</v>
      </c>
      <c r="K149">
        <v>0.21210000000000001</v>
      </c>
      <c r="L149">
        <v>0.47</v>
      </c>
      <c r="M149">
        <v>0.16420000000000001</v>
      </c>
      <c r="N149">
        <v>6</v>
      </c>
      <c r="O149">
        <v>76</v>
      </c>
      <c r="P149">
        <v>82</v>
      </c>
    </row>
    <row r="150" spans="1:16" x14ac:dyDescent="0.3">
      <c r="A150">
        <v>423</v>
      </c>
      <c r="B150" s="1">
        <v>40562</v>
      </c>
      <c r="C150">
        <v>1</v>
      </c>
      <c r="D150">
        <v>0</v>
      </c>
      <c r="E150">
        <v>1</v>
      </c>
      <c r="F150">
        <v>15</v>
      </c>
      <c r="G150" t="b">
        <v>0</v>
      </c>
      <c r="H150">
        <v>3</v>
      </c>
      <c r="I150">
        <v>1</v>
      </c>
      <c r="J150">
        <v>0.4</v>
      </c>
      <c r="K150">
        <v>0.40910000000000002</v>
      </c>
      <c r="L150">
        <v>0.54</v>
      </c>
      <c r="M150">
        <v>0.28360000000000002</v>
      </c>
      <c r="N150">
        <v>4</v>
      </c>
      <c r="O150">
        <v>78</v>
      </c>
      <c r="P150">
        <v>82</v>
      </c>
    </row>
    <row r="151" spans="1:16" x14ac:dyDescent="0.3">
      <c r="A151">
        <v>263</v>
      </c>
      <c r="B151" s="1">
        <v>40555</v>
      </c>
      <c r="C151">
        <v>1</v>
      </c>
      <c r="D151">
        <v>0</v>
      </c>
      <c r="E151">
        <v>1</v>
      </c>
      <c r="F151">
        <v>9</v>
      </c>
      <c r="G151" t="b">
        <v>0</v>
      </c>
      <c r="H151">
        <v>3</v>
      </c>
      <c r="I151">
        <v>1</v>
      </c>
      <c r="J151">
        <v>0.16</v>
      </c>
      <c r="K151">
        <v>0.13639999999999999</v>
      </c>
      <c r="L151">
        <v>0.59</v>
      </c>
      <c r="M151">
        <v>0.32840000000000003</v>
      </c>
      <c r="N151">
        <v>3</v>
      </c>
      <c r="O151">
        <v>78</v>
      </c>
      <c r="P151">
        <v>81</v>
      </c>
    </row>
    <row r="152" spans="1:16" x14ac:dyDescent="0.3">
      <c r="A152">
        <v>446</v>
      </c>
      <c r="B152" s="1">
        <v>40563</v>
      </c>
      <c r="C152">
        <v>1</v>
      </c>
      <c r="D152">
        <v>0</v>
      </c>
      <c r="E152">
        <v>1</v>
      </c>
      <c r="F152">
        <v>14</v>
      </c>
      <c r="G152" t="b">
        <v>0</v>
      </c>
      <c r="H152">
        <v>4</v>
      </c>
      <c r="I152">
        <v>2</v>
      </c>
      <c r="J152">
        <v>0.3</v>
      </c>
      <c r="K152">
        <v>0.30299999999999999</v>
      </c>
      <c r="L152">
        <v>0.45</v>
      </c>
      <c r="M152">
        <v>0.1343</v>
      </c>
      <c r="N152">
        <v>6</v>
      </c>
      <c r="O152">
        <v>75</v>
      </c>
      <c r="P152">
        <v>81</v>
      </c>
    </row>
    <row r="153" spans="1:16" x14ac:dyDescent="0.3">
      <c r="A153">
        <v>545</v>
      </c>
      <c r="B153" s="1">
        <v>40567</v>
      </c>
      <c r="C153">
        <v>1</v>
      </c>
      <c r="D153">
        <v>0</v>
      </c>
      <c r="E153">
        <v>1</v>
      </c>
      <c r="F153">
        <v>20</v>
      </c>
      <c r="G153" t="b">
        <v>0</v>
      </c>
      <c r="H153">
        <v>1</v>
      </c>
      <c r="I153">
        <v>1</v>
      </c>
      <c r="J153">
        <v>0.14000000000000001</v>
      </c>
      <c r="K153">
        <v>0.13639999999999999</v>
      </c>
      <c r="L153">
        <v>0.59</v>
      </c>
      <c r="M153">
        <v>0.19400000000000001</v>
      </c>
      <c r="N153">
        <v>1</v>
      </c>
      <c r="O153">
        <v>80</v>
      </c>
      <c r="P153">
        <v>81</v>
      </c>
    </row>
    <row r="154" spans="1:16" x14ac:dyDescent="0.3">
      <c r="A154">
        <v>385</v>
      </c>
      <c r="B154" s="1">
        <v>40560</v>
      </c>
      <c r="C154">
        <v>1</v>
      </c>
      <c r="D154">
        <v>0</v>
      </c>
      <c r="E154">
        <v>1</v>
      </c>
      <c r="F154">
        <v>12</v>
      </c>
      <c r="G154" t="b">
        <v>1</v>
      </c>
      <c r="H154">
        <v>1</v>
      </c>
      <c r="I154">
        <v>2</v>
      </c>
      <c r="J154">
        <v>0.18</v>
      </c>
      <c r="K154">
        <v>0.19700000000000001</v>
      </c>
      <c r="L154">
        <v>0.47</v>
      </c>
      <c r="M154">
        <v>0.1343</v>
      </c>
      <c r="N154">
        <v>10</v>
      </c>
      <c r="O154">
        <v>70</v>
      </c>
      <c r="P154">
        <v>80</v>
      </c>
    </row>
    <row r="155" spans="1:16" x14ac:dyDescent="0.3">
      <c r="A155">
        <v>104</v>
      </c>
      <c r="B155" s="1">
        <v>40548</v>
      </c>
      <c r="C155">
        <v>1</v>
      </c>
      <c r="D155">
        <v>0</v>
      </c>
      <c r="E155">
        <v>1</v>
      </c>
      <c r="F155">
        <v>12</v>
      </c>
      <c r="G155" t="b">
        <v>0</v>
      </c>
      <c r="H155">
        <v>3</v>
      </c>
      <c r="I155">
        <v>1</v>
      </c>
      <c r="J155">
        <v>0.26</v>
      </c>
      <c r="K155">
        <v>0.2273</v>
      </c>
      <c r="L155">
        <v>0.33</v>
      </c>
      <c r="M155">
        <v>0.32840000000000003</v>
      </c>
      <c r="N155">
        <v>5</v>
      </c>
      <c r="O155">
        <v>74</v>
      </c>
      <c r="P155">
        <v>79</v>
      </c>
    </row>
    <row r="156" spans="1:16" x14ac:dyDescent="0.3">
      <c r="A156">
        <v>359</v>
      </c>
      <c r="B156" s="1">
        <v>40559</v>
      </c>
      <c r="C156">
        <v>1</v>
      </c>
      <c r="D156">
        <v>0</v>
      </c>
      <c r="E156">
        <v>1</v>
      </c>
      <c r="F156">
        <v>10</v>
      </c>
      <c r="G156" t="b">
        <v>0</v>
      </c>
      <c r="H156">
        <v>0</v>
      </c>
      <c r="I156">
        <v>1</v>
      </c>
      <c r="J156">
        <v>0.22</v>
      </c>
      <c r="K156">
        <v>0.21210000000000001</v>
      </c>
      <c r="L156">
        <v>0.51</v>
      </c>
      <c r="M156">
        <v>0.28360000000000002</v>
      </c>
      <c r="N156">
        <v>8</v>
      </c>
      <c r="O156">
        <v>71</v>
      </c>
      <c r="P156">
        <v>79</v>
      </c>
    </row>
    <row r="157" spans="1:16" x14ac:dyDescent="0.3">
      <c r="A157">
        <v>591</v>
      </c>
      <c r="B157" s="1">
        <v>40570</v>
      </c>
      <c r="C157">
        <v>1</v>
      </c>
      <c r="D157">
        <v>0</v>
      </c>
      <c r="E157">
        <v>1</v>
      </c>
      <c r="F157">
        <v>19</v>
      </c>
      <c r="G157" t="b">
        <v>0</v>
      </c>
      <c r="H157">
        <v>4</v>
      </c>
      <c r="I157">
        <v>1</v>
      </c>
      <c r="J157">
        <v>0.2</v>
      </c>
      <c r="K157">
        <v>0.2273</v>
      </c>
      <c r="L157">
        <v>0.69</v>
      </c>
      <c r="M157">
        <v>8.9599999999999999E-2</v>
      </c>
      <c r="N157">
        <v>3</v>
      </c>
      <c r="O157">
        <v>76</v>
      </c>
      <c r="P157">
        <v>79</v>
      </c>
    </row>
    <row r="158" spans="1:16" x14ac:dyDescent="0.3">
      <c r="A158">
        <v>81</v>
      </c>
      <c r="B158" s="1">
        <v>40547</v>
      </c>
      <c r="C158">
        <v>1</v>
      </c>
      <c r="D158">
        <v>0</v>
      </c>
      <c r="E158">
        <v>1</v>
      </c>
      <c r="F158">
        <v>12</v>
      </c>
      <c r="G158" t="b">
        <v>0</v>
      </c>
      <c r="H158">
        <v>2</v>
      </c>
      <c r="I158">
        <v>1</v>
      </c>
      <c r="J158">
        <v>0.22</v>
      </c>
      <c r="K158">
        <v>0.2273</v>
      </c>
      <c r="L158">
        <v>0.51</v>
      </c>
      <c r="M158">
        <v>0.16420000000000001</v>
      </c>
      <c r="N158">
        <v>12</v>
      </c>
      <c r="O158">
        <v>66</v>
      </c>
      <c r="P158">
        <v>78</v>
      </c>
    </row>
    <row r="159" spans="1:16" x14ac:dyDescent="0.3">
      <c r="A159">
        <v>294</v>
      </c>
      <c r="B159" s="1">
        <v>40556</v>
      </c>
      <c r="C159">
        <v>1</v>
      </c>
      <c r="D159">
        <v>0</v>
      </c>
      <c r="E159">
        <v>1</v>
      </c>
      <c r="F159">
        <v>16</v>
      </c>
      <c r="G159" t="b">
        <v>0</v>
      </c>
      <c r="H159">
        <v>4</v>
      </c>
      <c r="I159">
        <v>1</v>
      </c>
      <c r="J159">
        <v>0.24</v>
      </c>
      <c r="K159">
        <v>0.21210000000000001</v>
      </c>
      <c r="L159">
        <v>0.38</v>
      </c>
      <c r="M159">
        <v>0.35820000000000002</v>
      </c>
      <c r="N159">
        <v>2</v>
      </c>
      <c r="O159">
        <v>76</v>
      </c>
      <c r="P159">
        <v>78</v>
      </c>
    </row>
    <row r="160" spans="1:16" x14ac:dyDescent="0.3">
      <c r="A160">
        <v>421</v>
      </c>
      <c r="B160" s="1">
        <v>40562</v>
      </c>
      <c r="C160">
        <v>1</v>
      </c>
      <c r="D160">
        <v>0</v>
      </c>
      <c r="E160">
        <v>1</v>
      </c>
      <c r="F160">
        <v>13</v>
      </c>
      <c r="G160" t="b">
        <v>0</v>
      </c>
      <c r="H160">
        <v>3</v>
      </c>
      <c r="I160">
        <v>1</v>
      </c>
      <c r="J160">
        <v>0.4</v>
      </c>
      <c r="K160">
        <v>0.40910000000000002</v>
      </c>
      <c r="L160">
        <v>0.62</v>
      </c>
      <c r="M160">
        <v>0.28360000000000002</v>
      </c>
      <c r="N160">
        <v>11</v>
      </c>
      <c r="O160">
        <v>67</v>
      </c>
      <c r="P160">
        <v>78</v>
      </c>
    </row>
    <row r="161" spans="1:16" x14ac:dyDescent="0.3">
      <c r="A161">
        <v>468</v>
      </c>
      <c r="B161" s="1">
        <v>40564</v>
      </c>
      <c r="C161">
        <v>1</v>
      </c>
      <c r="D161">
        <v>0</v>
      </c>
      <c r="E161">
        <v>1</v>
      </c>
      <c r="F161">
        <v>12</v>
      </c>
      <c r="G161" t="b">
        <v>0</v>
      </c>
      <c r="H161">
        <v>5</v>
      </c>
      <c r="I161">
        <v>1</v>
      </c>
      <c r="J161">
        <v>0.22</v>
      </c>
      <c r="K161">
        <v>0.18179999999999999</v>
      </c>
      <c r="L161">
        <v>0.27</v>
      </c>
      <c r="M161">
        <v>0.58209999999999995</v>
      </c>
      <c r="N161">
        <v>11</v>
      </c>
      <c r="O161">
        <v>67</v>
      </c>
      <c r="P161">
        <v>78</v>
      </c>
    </row>
    <row r="162" spans="1:16" x14ac:dyDescent="0.3">
      <c r="A162">
        <v>60</v>
      </c>
      <c r="B162" s="1">
        <v>40546</v>
      </c>
      <c r="C162">
        <v>1</v>
      </c>
      <c r="D162">
        <v>0</v>
      </c>
      <c r="E162">
        <v>1</v>
      </c>
      <c r="F162">
        <v>14</v>
      </c>
      <c r="G162" t="b">
        <v>0</v>
      </c>
      <c r="H162">
        <v>1</v>
      </c>
      <c r="I162">
        <v>1</v>
      </c>
      <c r="J162">
        <v>0.26</v>
      </c>
      <c r="K162">
        <v>0.2424</v>
      </c>
      <c r="L162">
        <v>0.3</v>
      </c>
      <c r="M162">
        <v>0.28360000000000002</v>
      </c>
      <c r="N162">
        <v>11</v>
      </c>
      <c r="O162">
        <v>66</v>
      </c>
      <c r="P162">
        <v>77</v>
      </c>
    </row>
    <row r="163" spans="1:16" x14ac:dyDescent="0.3">
      <c r="A163">
        <v>217</v>
      </c>
      <c r="B163" s="1">
        <v>40553</v>
      </c>
      <c r="C163">
        <v>1</v>
      </c>
      <c r="D163">
        <v>0</v>
      </c>
      <c r="E163">
        <v>1</v>
      </c>
      <c r="F163">
        <v>7</v>
      </c>
      <c r="G163" t="b">
        <v>0</v>
      </c>
      <c r="H163">
        <v>1</v>
      </c>
      <c r="I163">
        <v>1</v>
      </c>
      <c r="J163">
        <v>0.12</v>
      </c>
      <c r="K163">
        <v>0.1212</v>
      </c>
      <c r="L163">
        <v>0.5</v>
      </c>
      <c r="M163">
        <v>0.22389999999999999</v>
      </c>
      <c r="N163">
        <v>2</v>
      </c>
      <c r="O163">
        <v>75</v>
      </c>
      <c r="P163">
        <v>77</v>
      </c>
    </row>
    <row r="164" spans="1:16" x14ac:dyDescent="0.3">
      <c r="A164">
        <v>314</v>
      </c>
      <c r="B164" s="1">
        <v>40557</v>
      </c>
      <c r="C164">
        <v>1</v>
      </c>
      <c r="D164">
        <v>0</v>
      </c>
      <c r="E164">
        <v>1</v>
      </c>
      <c r="F164">
        <v>13</v>
      </c>
      <c r="G164" t="b">
        <v>0</v>
      </c>
      <c r="H164">
        <v>5</v>
      </c>
      <c r="I164">
        <v>1</v>
      </c>
      <c r="J164">
        <v>0.22</v>
      </c>
      <c r="K164">
        <v>0.19700000000000001</v>
      </c>
      <c r="L164">
        <v>0.37</v>
      </c>
      <c r="M164">
        <v>0.3881</v>
      </c>
      <c r="N164">
        <v>4</v>
      </c>
      <c r="O164">
        <v>73</v>
      </c>
      <c r="P164">
        <v>77</v>
      </c>
    </row>
    <row r="165" spans="1:16" x14ac:dyDescent="0.3">
      <c r="A165">
        <v>517</v>
      </c>
      <c r="B165" s="1">
        <v>40566</v>
      </c>
      <c r="C165">
        <v>1</v>
      </c>
      <c r="D165">
        <v>0</v>
      </c>
      <c r="E165">
        <v>1</v>
      </c>
      <c r="F165">
        <v>15</v>
      </c>
      <c r="G165" t="b">
        <v>0</v>
      </c>
      <c r="H165">
        <v>0</v>
      </c>
      <c r="I165">
        <v>1</v>
      </c>
      <c r="J165">
        <v>0.16</v>
      </c>
      <c r="K165">
        <v>0.13639999999999999</v>
      </c>
      <c r="L165">
        <v>0.28000000000000003</v>
      </c>
      <c r="M165">
        <v>0.35820000000000002</v>
      </c>
      <c r="N165">
        <v>13</v>
      </c>
      <c r="O165">
        <v>64</v>
      </c>
      <c r="P165">
        <v>77</v>
      </c>
    </row>
    <row r="166" spans="1:16" x14ac:dyDescent="0.3">
      <c r="A166">
        <v>40</v>
      </c>
      <c r="B166" s="1">
        <v>40545</v>
      </c>
      <c r="C166">
        <v>1</v>
      </c>
      <c r="D166">
        <v>0</v>
      </c>
      <c r="E166">
        <v>1</v>
      </c>
      <c r="F166">
        <v>16</v>
      </c>
      <c r="G166" t="b">
        <v>0</v>
      </c>
      <c r="H166">
        <v>0</v>
      </c>
      <c r="I166">
        <v>3</v>
      </c>
      <c r="J166">
        <v>0.34</v>
      </c>
      <c r="K166">
        <v>0.33329999999999999</v>
      </c>
      <c r="L166">
        <v>0.71</v>
      </c>
      <c r="M166">
        <v>0.16420000000000001</v>
      </c>
      <c r="N166">
        <v>9</v>
      </c>
      <c r="O166">
        <v>67</v>
      </c>
      <c r="P166">
        <v>76</v>
      </c>
    </row>
    <row r="167" spans="1:16" x14ac:dyDescent="0.3">
      <c r="A167">
        <v>62</v>
      </c>
      <c r="B167" s="1">
        <v>40546</v>
      </c>
      <c r="C167">
        <v>1</v>
      </c>
      <c r="D167">
        <v>0</v>
      </c>
      <c r="E167">
        <v>1</v>
      </c>
      <c r="F167">
        <v>16</v>
      </c>
      <c r="G167" t="b">
        <v>0</v>
      </c>
      <c r="H167">
        <v>1</v>
      </c>
      <c r="I167">
        <v>1</v>
      </c>
      <c r="J167">
        <v>0.26</v>
      </c>
      <c r="K167">
        <v>0.2424</v>
      </c>
      <c r="L167">
        <v>0.3</v>
      </c>
      <c r="M167">
        <v>0.25369999999999998</v>
      </c>
      <c r="N167">
        <v>9</v>
      </c>
      <c r="O167">
        <v>67</v>
      </c>
      <c r="P167">
        <v>76</v>
      </c>
    </row>
    <row r="168" spans="1:16" x14ac:dyDescent="0.3">
      <c r="A168">
        <v>178</v>
      </c>
      <c r="B168" s="1">
        <v>40551</v>
      </c>
      <c r="C168">
        <v>1</v>
      </c>
      <c r="D168">
        <v>0</v>
      </c>
      <c r="E168">
        <v>1</v>
      </c>
      <c r="F168">
        <v>16</v>
      </c>
      <c r="G168" t="b">
        <v>0</v>
      </c>
      <c r="H168">
        <v>6</v>
      </c>
      <c r="I168">
        <v>1</v>
      </c>
      <c r="J168">
        <v>0.18</v>
      </c>
      <c r="K168">
        <v>0.13639999999999999</v>
      </c>
      <c r="L168">
        <v>0.28999999999999998</v>
      </c>
      <c r="M168">
        <v>0.44779999999999998</v>
      </c>
      <c r="N168">
        <v>8</v>
      </c>
      <c r="O168">
        <v>68</v>
      </c>
      <c r="P168">
        <v>76</v>
      </c>
    </row>
    <row r="169" spans="1:16" x14ac:dyDescent="0.3">
      <c r="A169">
        <v>248</v>
      </c>
      <c r="B169" s="1">
        <v>40554</v>
      </c>
      <c r="C169">
        <v>1</v>
      </c>
      <c r="D169">
        <v>0</v>
      </c>
      <c r="E169">
        <v>1</v>
      </c>
      <c r="F169">
        <v>16</v>
      </c>
      <c r="G169" t="b">
        <v>0</v>
      </c>
      <c r="H169">
        <v>2</v>
      </c>
      <c r="I169">
        <v>2</v>
      </c>
      <c r="J169">
        <v>0.16</v>
      </c>
      <c r="K169">
        <v>0.1515</v>
      </c>
      <c r="L169">
        <v>0.86</v>
      </c>
      <c r="M169">
        <v>0.22389999999999999</v>
      </c>
      <c r="N169">
        <v>4</v>
      </c>
      <c r="O169">
        <v>72</v>
      </c>
      <c r="P169">
        <v>76</v>
      </c>
    </row>
    <row r="170" spans="1:16" x14ac:dyDescent="0.3">
      <c r="A170">
        <v>428</v>
      </c>
      <c r="B170" s="1">
        <v>40562</v>
      </c>
      <c r="C170">
        <v>1</v>
      </c>
      <c r="D170">
        <v>0</v>
      </c>
      <c r="E170">
        <v>1</v>
      </c>
      <c r="F170">
        <v>20</v>
      </c>
      <c r="G170" t="b">
        <v>0</v>
      </c>
      <c r="H170">
        <v>3</v>
      </c>
      <c r="I170">
        <v>1</v>
      </c>
      <c r="J170">
        <v>0.32</v>
      </c>
      <c r="K170">
        <v>0.30299999999999999</v>
      </c>
      <c r="L170">
        <v>0.49</v>
      </c>
      <c r="M170">
        <v>0.29849999999999999</v>
      </c>
      <c r="N170">
        <v>2</v>
      </c>
      <c r="O170">
        <v>74</v>
      </c>
      <c r="P170">
        <v>76</v>
      </c>
    </row>
    <row r="171" spans="1:16" x14ac:dyDescent="0.3">
      <c r="A171">
        <v>37</v>
      </c>
      <c r="B171" s="1">
        <v>40545</v>
      </c>
      <c r="C171">
        <v>1</v>
      </c>
      <c r="D171">
        <v>0</v>
      </c>
      <c r="E171">
        <v>1</v>
      </c>
      <c r="F171">
        <v>13</v>
      </c>
      <c r="G171" t="b">
        <v>0</v>
      </c>
      <c r="H171">
        <v>0</v>
      </c>
      <c r="I171">
        <v>2</v>
      </c>
      <c r="J171">
        <v>0.36</v>
      </c>
      <c r="K171">
        <v>0.34849999999999998</v>
      </c>
      <c r="L171">
        <v>0.66</v>
      </c>
      <c r="M171">
        <v>0.1343</v>
      </c>
      <c r="N171">
        <v>11</v>
      </c>
      <c r="O171">
        <v>64</v>
      </c>
      <c r="P171">
        <v>75</v>
      </c>
    </row>
    <row r="172" spans="1:16" x14ac:dyDescent="0.3">
      <c r="A172">
        <v>199</v>
      </c>
      <c r="B172" s="1">
        <v>40552</v>
      </c>
      <c r="C172">
        <v>1</v>
      </c>
      <c r="D172">
        <v>0</v>
      </c>
      <c r="E172">
        <v>1</v>
      </c>
      <c r="F172">
        <v>13</v>
      </c>
      <c r="G172" t="b">
        <v>0</v>
      </c>
      <c r="H172">
        <v>0</v>
      </c>
      <c r="I172">
        <v>1</v>
      </c>
      <c r="J172">
        <v>0.2</v>
      </c>
      <c r="K172">
        <v>0.16669999999999999</v>
      </c>
      <c r="L172">
        <v>0.34</v>
      </c>
      <c r="M172">
        <v>0.44779999999999998</v>
      </c>
      <c r="N172">
        <v>6</v>
      </c>
      <c r="O172">
        <v>69</v>
      </c>
      <c r="P172">
        <v>75</v>
      </c>
    </row>
    <row r="173" spans="1:16" x14ac:dyDescent="0.3">
      <c r="A173">
        <v>422</v>
      </c>
      <c r="B173" s="1">
        <v>40562</v>
      </c>
      <c r="C173">
        <v>1</v>
      </c>
      <c r="D173">
        <v>0</v>
      </c>
      <c r="E173">
        <v>1</v>
      </c>
      <c r="F173">
        <v>14</v>
      </c>
      <c r="G173" t="b">
        <v>0</v>
      </c>
      <c r="H173">
        <v>3</v>
      </c>
      <c r="I173">
        <v>1</v>
      </c>
      <c r="J173">
        <v>0.4</v>
      </c>
      <c r="K173">
        <v>0.40910000000000002</v>
      </c>
      <c r="L173">
        <v>0.57999999999999996</v>
      </c>
      <c r="M173">
        <v>0.25369999999999998</v>
      </c>
      <c r="N173">
        <v>7</v>
      </c>
      <c r="O173">
        <v>68</v>
      </c>
      <c r="P173">
        <v>75</v>
      </c>
    </row>
    <row r="174" spans="1:16" x14ac:dyDescent="0.3">
      <c r="A174">
        <v>493</v>
      </c>
      <c r="B174" s="1">
        <v>40565</v>
      </c>
      <c r="C174">
        <v>1</v>
      </c>
      <c r="D174">
        <v>0</v>
      </c>
      <c r="E174">
        <v>1</v>
      </c>
      <c r="F174">
        <v>14</v>
      </c>
      <c r="G174" t="b">
        <v>0</v>
      </c>
      <c r="H174">
        <v>6</v>
      </c>
      <c r="I174">
        <v>1</v>
      </c>
      <c r="J174">
        <v>0.1</v>
      </c>
      <c r="K174">
        <v>0.13639999999999999</v>
      </c>
      <c r="L174">
        <v>0.33</v>
      </c>
      <c r="M174">
        <v>0.1045</v>
      </c>
      <c r="N174">
        <v>11</v>
      </c>
      <c r="O174">
        <v>64</v>
      </c>
      <c r="P174">
        <v>75</v>
      </c>
    </row>
    <row r="175" spans="1:16" x14ac:dyDescent="0.3">
      <c r="A175">
        <v>39</v>
      </c>
      <c r="B175" s="1">
        <v>40545</v>
      </c>
      <c r="C175">
        <v>1</v>
      </c>
      <c r="D175">
        <v>0</v>
      </c>
      <c r="E175">
        <v>1</v>
      </c>
      <c r="F175">
        <v>15</v>
      </c>
      <c r="G175" t="b">
        <v>0</v>
      </c>
      <c r="H175">
        <v>0</v>
      </c>
      <c r="I175">
        <v>3</v>
      </c>
      <c r="J175">
        <v>0.34</v>
      </c>
      <c r="K175">
        <v>0.33329999999999999</v>
      </c>
      <c r="L175">
        <v>0.81</v>
      </c>
      <c r="M175">
        <v>0.16420000000000001</v>
      </c>
      <c r="N175">
        <v>19</v>
      </c>
      <c r="O175">
        <v>55</v>
      </c>
      <c r="P175">
        <v>74</v>
      </c>
    </row>
    <row r="176" spans="1:16" x14ac:dyDescent="0.3">
      <c r="A176">
        <v>177</v>
      </c>
      <c r="B176" s="1">
        <v>40551</v>
      </c>
      <c r="C176">
        <v>1</v>
      </c>
      <c r="D176">
        <v>0</v>
      </c>
      <c r="E176">
        <v>1</v>
      </c>
      <c r="F176">
        <v>15</v>
      </c>
      <c r="G176" t="b">
        <v>0</v>
      </c>
      <c r="H176">
        <v>6</v>
      </c>
      <c r="I176">
        <v>1</v>
      </c>
      <c r="J176">
        <v>0.2</v>
      </c>
      <c r="K176">
        <v>0.16669999999999999</v>
      </c>
      <c r="L176">
        <v>0.32</v>
      </c>
      <c r="M176">
        <v>0.44779999999999998</v>
      </c>
      <c r="N176">
        <v>5</v>
      </c>
      <c r="O176">
        <v>69</v>
      </c>
      <c r="P176">
        <v>74</v>
      </c>
    </row>
    <row r="177" spans="1:16" x14ac:dyDescent="0.3">
      <c r="A177">
        <v>226</v>
      </c>
      <c r="B177" s="1">
        <v>40553</v>
      </c>
      <c r="C177">
        <v>1</v>
      </c>
      <c r="D177">
        <v>0</v>
      </c>
      <c r="E177">
        <v>1</v>
      </c>
      <c r="F177">
        <v>16</v>
      </c>
      <c r="G177" t="b">
        <v>0</v>
      </c>
      <c r="H177">
        <v>1</v>
      </c>
      <c r="I177">
        <v>1</v>
      </c>
      <c r="J177">
        <v>0.2</v>
      </c>
      <c r="K177">
        <v>0.21210000000000001</v>
      </c>
      <c r="L177">
        <v>0.4</v>
      </c>
      <c r="M177">
        <v>0.1343</v>
      </c>
      <c r="N177">
        <v>4</v>
      </c>
      <c r="O177">
        <v>70</v>
      </c>
      <c r="P177">
        <v>74</v>
      </c>
    </row>
    <row r="178" spans="1:16" x14ac:dyDescent="0.3">
      <c r="A178">
        <v>230</v>
      </c>
      <c r="B178" s="1">
        <v>40553</v>
      </c>
      <c r="C178">
        <v>1</v>
      </c>
      <c r="D178">
        <v>0</v>
      </c>
      <c r="E178">
        <v>1</v>
      </c>
      <c r="F178">
        <v>20</v>
      </c>
      <c r="G178" t="b">
        <v>0</v>
      </c>
      <c r="H178">
        <v>1</v>
      </c>
      <c r="I178">
        <v>1</v>
      </c>
      <c r="J178">
        <v>0.16</v>
      </c>
      <c r="K178">
        <v>0.16669999999999999</v>
      </c>
      <c r="L178">
        <v>0.5</v>
      </c>
      <c r="M178">
        <v>0.16420000000000001</v>
      </c>
      <c r="N178">
        <v>1</v>
      </c>
      <c r="O178">
        <v>73</v>
      </c>
      <c r="P178">
        <v>74</v>
      </c>
    </row>
    <row r="179" spans="1:16" x14ac:dyDescent="0.3">
      <c r="A179">
        <v>344</v>
      </c>
      <c r="B179" s="1">
        <v>40558</v>
      </c>
      <c r="C179">
        <v>1</v>
      </c>
      <c r="D179">
        <v>0</v>
      </c>
      <c r="E179">
        <v>1</v>
      </c>
      <c r="F179">
        <v>19</v>
      </c>
      <c r="G179" t="b">
        <v>0</v>
      </c>
      <c r="H179">
        <v>6</v>
      </c>
      <c r="I179">
        <v>2</v>
      </c>
      <c r="J179">
        <v>0.32</v>
      </c>
      <c r="K179">
        <v>0.30299999999999999</v>
      </c>
      <c r="L179">
        <v>0.39</v>
      </c>
      <c r="M179">
        <v>0.25369999999999998</v>
      </c>
      <c r="N179">
        <v>14</v>
      </c>
      <c r="O179">
        <v>60</v>
      </c>
      <c r="P179">
        <v>74</v>
      </c>
    </row>
    <row r="180" spans="1:16" x14ac:dyDescent="0.3">
      <c r="A180">
        <v>151</v>
      </c>
      <c r="B180" s="1">
        <v>40550</v>
      </c>
      <c r="C180">
        <v>1</v>
      </c>
      <c r="D180">
        <v>0</v>
      </c>
      <c r="E180">
        <v>1</v>
      </c>
      <c r="F180">
        <v>13</v>
      </c>
      <c r="G180" t="b">
        <v>0</v>
      </c>
      <c r="H180">
        <v>5</v>
      </c>
      <c r="I180">
        <v>2</v>
      </c>
      <c r="J180">
        <v>0.2</v>
      </c>
      <c r="K180">
        <v>0.18179999999999999</v>
      </c>
      <c r="L180">
        <v>0.37</v>
      </c>
      <c r="M180">
        <v>0.28360000000000002</v>
      </c>
      <c r="N180">
        <v>9</v>
      </c>
      <c r="O180">
        <v>64</v>
      </c>
      <c r="P180">
        <v>73</v>
      </c>
    </row>
    <row r="181" spans="1:16" x14ac:dyDescent="0.3">
      <c r="A181">
        <v>469</v>
      </c>
      <c r="B181" s="1">
        <v>40564</v>
      </c>
      <c r="C181">
        <v>1</v>
      </c>
      <c r="D181">
        <v>0</v>
      </c>
      <c r="E181">
        <v>1</v>
      </c>
      <c r="F181">
        <v>13</v>
      </c>
      <c r="G181" t="b">
        <v>0</v>
      </c>
      <c r="H181">
        <v>5</v>
      </c>
      <c r="I181">
        <v>1</v>
      </c>
      <c r="J181">
        <v>0.2</v>
      </c>
      <c r="K181">
        <v>0.1515</v>
      </c>
      <c r="L181">
        <v>0.21</v>
      </c>
      <c r="M181">
        <v>0.58209999999999995</v>
      </c>
      <c r="N181">
        <v>8</v>
      </c>
      <c r="O181">
        <v>65</v>
      </c>
      <c r="P181">
        <v>73</v>
      </c>
    </row>
    <row r="182" spans="1:16" x14ac:dyDescent="0.3">
      <c r="A182">
        <v>61</v>
      </c>
      <c r="B182" s="1">
        <v>40546</v>
      </c>
      <c r="C182">
        <v>1</v>
      </c>
      <c r="D182">
        <v>0</v>
      </c>
      <c r="E182">
        <v>1</v>
      </c>
      <c r="F182">
        <v>15</v>
      </c>
      <c r="G182" t="b">
        <v>0</v>
      </c>
      <c r="H182">
        <v>1</v>
      </c>
      <c r="I182">
        <v>1</v>
      </c>
      <c r="J182">
        <v>0.26</v>
      </c>
      <c r="K182">
        <v>0.2424</v>
      </c>
      <c r="L182">
        <v>0.3</v>
      </c>
      <c r="M182">
        <v>0.25369999999999998</v>
      </c>
      <c r="N182">
        <v>14</v>
      </c>
      <c r="O182">
        <v>58</v>
      </c>
      <c r="P182">
        <v>72</v>
      </c>
    </row>
    <row r="183" spans="1:16" x14ac:dyDescent="0.3">
      <c r="A183">
        <v>153</v>
      </c>
      <c r="B183" s="1">
        <v>40550</v>
      </c>
      <c r="C183">
        <v>1</v>
      </c>
      <c r="D183">
        <v>0</v>
      </c>
      <c r="E183">
        <v>1</v>
      </c>
      <c r="F183">
        <v>15</v>
      </c>
      <c r="G183" t="b">
        <v>0</v>
      </c>
      <c r="H183">
        <v>5</v>
      </c>
      <c r="I183">
        <v>2</v>
      </c>
      <c r="J183">
        <v>0.2</v>
      </c>
      <c r="K183">
        <v>0.21210000000000001</v>
      </c>
      <c r="L183">
        <v>0.37</v>
      </c>
      <c r="M183">
        <v>0.16420000000000001</v>
      </c>
      <c r="N183">
        <v>9</v>
      </c>
      <c r="O183">
        <v>63</v>
      </c>
      <c r="P183">
        <v>72</v>
      </c>
    </row>
    <row r="184" spans="1:16" x14ac:dyDescent="0.3">
      <c r="A184">
        <v>200</v>
      </c>
      <c r="B184" s="1">
        <v>40552</v>
      </c>
      <c r="C184">
        <v>1</v>
      </c>
      <c r="D184">
        <v>0</v>
      </c>
      <c r="E184">
        <v>1</v>
      </c>
      <c r="F184">
        <v>14</v>
      </c>
      <c r="G184" t="b">
        <v>0</v>
      </c>
      <c r="H184">
        <v>0</v>
      </c>
      <c r="I184">
        <v>1</v>
      </c>
      <c r="J184">
        <v>0.22</v>
      </c>
      <c r="K184">
        <v>0.18179999999999999</v>
      </c>
      <c r="L184">
        <v>0.32</v>
      </c>
      <c r="M184">
        <v>0.4627</v>
      </c>
      <c r="N184">
        <v>8</v>
      </c>
      <c r="O184">
        <v>64</v>
      </c>
      <c r="P184">
        <v>72</v>
      </c>
    </row>
    <row r="185" spans="1:16" x14ac:dyDescent="0.3">
      <c r="A185">
        <v>285</v>
      </c>
      <c r="B185" s="1">
        <v>40556</v>
      </c>
      <c r="C185">
        <v>1</v>
      </c>
      <c r="D185">
        <v>0</v>
      </c>
      <c r="E185">
        <v>1</v>
      </c>
      <c r="F185">
        <v>7</v>
      </c>
      <c r="G185" t="b">
        <v>0</v>
      </c>
      <c r="H185">
        <v>4</v>
      </c>
      <c r="I185">
        <v>1</v>
      </c>
      <c r="J185">
        <v>0.12</v>
      </c>
      <c r="K185">
        <v>0.1515</v>
      </c>
      <c r="L185">
        <v>0.54</v>
      </c>
      <c r="M185">
        <v>0.1343</v>
      </c>
      <c r="N185">
        <v>0</v>
      </c>
      <c r="O185">
        <v>72</v>
      </c>
      <c r="P185">
        <v>72</v>
      </c>
    </row>
    <row r="186" spans="1:16" x14ac:dyDescent="0.3">
      <c r="A186">
        <v>336</v>
      </c>
      <c r="B186" s="1">
        <v>40558</v>
      </c>
      <c r="C186">
        <v>1</v>
      </c>
      <c r="D186">
        <v>0</v>
      </c>
      <c r="E186">
        <v>1</v>
      </c>
      <c r="F186">
        <v>11</v>
      </c>
      <c r="G186" t="b">
        <v>0</v>
      </c>
      <c r="H186">
        <v>6</v>
      </c>
      <c r="I186">
        <v>1</v>
      </c>
      <c r="J186">
        <v>0.2</v>
      </c>
      <c r="K186">
        <v>0.19700000000000001</v>
      </c>
      <c r="L186">
        <v>0.55000000000000004</v>
      </c>
      <c r="M186">
        <v>0.22389999999999999</v>
      </c>
      <c r="N186">
        <v>18</v>
      </c>
      <c r="O186">
        <v>54</v>
      </c>
      <c r="P186">
        <v>72</v>
      </c>
    </row>
    <row r="187" spans="1:16" x14ac:dyDescent="0.3">
      <c r="A187">
        <v>578</v>
      </c>
      <c r="B187" s="1">
        <v>40569</v>
      </c>
      <c r="C187">
        <v>1</v>
      </c>
      <c r="D187">
        <v>0</v>
      </c>
      <c r="E187">
        <v>1</v>
      </c>
      <c r="F187">
        <v>8</v>
      </c>
      <c r="G187" t="b">
        <v>0</v>
      </c>
      <c r="H187">
        <v>3</v>
      </c>
      <c r="I187">
        <v>3</v>
      </c>
      <c r="J187">
        <v>0.22</v>
      </c>
      <c r="K187">
        <v>0.21210000000000001</v>
      </c>
      <c r="L187">
        <v>0.87</v>
      </c>
      <c r="M187">
        <v>0.29849999999999999</v>
      </c>
      <c r="N187">
        <v>3</v>
      </c>
      <c r="O187">
        <v>69</v>
      </c>
      <c r="P187">
        <v>72</v>
      </c>
    </row>
    <row r="188" spans="1:16" x14ac:dyDescent="0.3">
      <c r="A188">
        <v>105</v>
      </c>
      <c r="B188" s="1">
        <v>40548</v>
      </c>
      <c r="C188">
        <v>1</v>
      </c>
      <c r="D188">
        <v>0</v>
      </c>
      <c r="E188">
        <v>1</v>
      </c>
      <c r="F188">
        <v>13</v>
      </c>
      <c r="G188" t="b">
        <v>0</v>
      </c>
      <c r="H188">
        <v>3</v>
      </c>
      <c r="I188">
        <v>1</v>
      </c>
      <c r="J188">
        <v>0.28000000000000003</v>
      </c>
      <c r="K188">
        <v>0.2576</v>
      </c>
      <c r="L188">
        <v>0.3</v>
      </c>
      <c r="M188">
        <v>0.29849999999999999</v>
      </c>
      <c r="N188">
        <v>6</v>
      </c>
      <c r="O188">
        <v>65</v>
      </c>
      <c r="P188">
        <v>71</v>
      </c>
    </row>
    <row r="189" spans="1:16" x14ac:dyDescent="0.3">
      <c r="A189">
        <v>390</v>
      </c>
      <c r="B189" s="1">
        <v>40560</v>
      </c>
      <c r="C189">
        <v>1</v>
      </c>
      <c r="D189">
        <v>0</v>
      </c>
      <c r="E189">
        <v>1</v>
      </c>
      <c r="F189">
        <v>17</v>
      </c>
      <c r="G189" t="b">
        <v>1</v>
      </c>
      <c r="H189">
        <v>1</v>
      </c>
      <c r="I189">
        <v>1</v>
      </c>
      <c r="J189">
        <v>0.2</v>
      </c>
      <c r="K189">
        <v>0.19700000000000001</v>
      </c>
      <c r="L189">
        <v>0.51</v>
      </c>
      <c r="M189">
        <v>0.19400000000000001</v>
      </c>
      <c r="N189">
        <v>4</v>
      </c>
      <c r="O189">
        <v>67</v>
      </c>
      <c r="P189">
        <v>71</v>
      </c>
    </row>
    <row r="190" spans="1:16" x14ac:dyDescent="0.3">
      <c r="A190">
        <v>35</v>
      </c>
      <c r="B190" s="1">
        <v>40545</v>
      </c>
      <c r="C190">
        <v>1</v>
      </c>
      <c r="D190">
        <v>0</v>
      </c>
      <c r="E190">
        <v>1</v>
      </c>
      <c r="F190">
        <v>11</v>
      </c>
      <c r="G190" t="b">
        <v>0</v>
      </c>
      <c r="H190">
        <v>0</v>
      </c>
      <c r="I190">
        <v>2</v>
      </c>
      <c r="J190">
        <v>0.36</v>
      </c>
      <c r="K190">
        <v>0.33329999999999999</v>
      </c>
      <c r="L190">
        <v>0.71</v>
      </c>
      <c r="M190">
        <v>0.25369999999999998</v>
      </c>
      <c r="N190">
        <v>16</v>
      </c>
      <c r="O190">
        <v>54</v>
      </c>
      <c r="P190">
        <v>70</v>
      </c>
    </row>
    <row r="191" spans="1:16" x14ac:dyDescent="0.3">
      <c r="A191">
        <v>129</v>
      </c>
      <c r="B191" s="1">
        <v>40549</v>
      </c>
      <c r="C191">
        <v>1</v>
      </c>
      <c r="D191">
        <v>0</v>
      </c>
      <c r="E191">
        <v>1</v>
      </c>
      <c r="F191">
        <v>14</v>
      </c>
      <c r="G191" t="b">
        <v>0</v>
      </c>
      <c r="H191">
        <v>4</v>
      </c>
      <c r="I191">
        <v>1</v>
      </c>
      <c r="J191">
        <v>0.28000000000000003</v>
      </c>
      <c r="K191">
        <v>0.2727</v>
      </c>
      <c r="L191">
        <v>0.36</v>
      </c>
      <c r="M191">
        <v>0.16420000000000001</v>
      </c>
      <c r="N191">
        <v>11</v>
      </c>
      <c r="O191">
        <v>59</v>
      </c>
      <c r="P191">
        <v>70</v>
      </c>
    </row>
    <row r="192" spans="1:16" x14ac:dyDescent="0.3">
      <c r="A192">
        <v>308</v>
      </c>
      <c r="B192" s="1">
        <v>40557</v>
      </c>
      <c r="C192">
        <v>1</v>
      </c>
      <c r="D192">
        <v>0</v>
      </c>
      <c r="E192">
        <v>1</v>
      </c>
      <c r="F192">
        <v>7</v>
      </c>
      <c r="G192" t="b">
        <v>0</v>
      </c>
      <c r="H192">
        <v>5</v>
      </c>
      <c r="I192">
        <v>1</v>
      </c>
      <c r="J192">
        <v>0.1</v>
      </c>
      <c r="K192">
        <v>0.1212</v>
      </c>
      <c r="L192">
        <v>0.74</v>
      </c>
      <c r="M192">
        <v>0.16420000000000001</v>
      </c>
      <c r="N192">
        <v>0</v>
      </c>
      <c r="O192">
        <v>70</v>
      </c>
      <c r="P192">
        <v>70</v>
      </c>
    </row>
    <row r="193" spans="1:16" x14ac:dyDescent="0.3">
      <c r="A193">
        <v>420</v>
      </c>
      <c r="B193" s="1">
        <v>40562</v>
      </c>
      <c r="C193">
        <v>1</v>
      </c>
      <c r="D193">
        <v>0</v>
      </c>
      <c r="E193">
        <v>1</v>
      </c>
      <c r="F193">
        <v>12</v>
      </c>
      <c r="G193" t="b">
        <v>0</v>
      </c>
      <c r="H193">
        <v>3</v>
      </c>
      <c r="I193">
        <v>2</v>
      </c>
      <c r="J193">
        <v>0.3</v>
      </c>
      <c r="K193">
        <v>0.31819999999999998</v>
      </c>
      <c r="L193">
        <v>0.81</v>
      </c>
      <c r="M193">
        <v>8.9599999999999999E-2</v>
      </c>
      <c r="N193">
        <v>5</v>
      </c>
      <c r="O193">
        <v>65</v>
      </c>
      <c r="P193">
        <v>70</v>
      </c>
    </row>
    <row r="194" spans="1:16" x14ac:dyDescent="0.3">
      <c r="A194">
        <v>447</v>
      </c>
      <c r="B194" s="1">
        <v>40563</v>
      </c>
      <c r="C194">
        <v>1</v>
      </c>
      <c r="D194">
        <v>0</v>
      </c>
      <c r="E194">
        <v>1</v>
      </c>
      <c r="F194">
        <v>15</v>
      </c>
      <c r="G194" t="b">
        <v>0</v>
      </c>
      <c r="H194">
        <v>4</v>
      </c>
      <c r="I194">
        <v>2</v>
      </c>
      <c r="J194">
        <v>0.32</v>
      </c>
      <c r="K194">
        <v>0.31819999999999998</v>
      </c>
      <c r="L194">
        <v>0.45</v>
      </c>
      <c r="M194">
        <v>0.19400000000000001</v>
      </c>
      <c r="N194">
        <v>8</v>
      </c>
      <c r="O194">
        <v>62</v>
      </c>
      <c r="P194">
        <v>70</v>
      </c>
    </row>
    <row r="195" spans="1:16" x14ac:dyDescent="0.3">
      <c r="A195">
        <v>491</v>
      </c>
      <c r="B195" s="1">
        <v>40565</v>
      </c>
      <c r="C195">
        <v>1</v>
      </c>
      <c r="D195">
        <v>0</v>
      </c>
      <c r="E195">
        <v>1</v>
      </c>
      <c r="F195">
        <v>12</v>
      </c>
      <c r="G195" t="b">
        <v>0</v>
      </c>
      <c r="H195">
        <v>6</v>
      </c>
      <c r="I195">
        <v>2</v>
      </c>
      <c r="J195">
        <v>0.06</v>
      </c>
      <c r="K195">
        <v>0.1061</v>
      </c>
      <c r="L195">
        <v>0.38</v>
      </c>
      <c r="M195">
        <v>0.1045</v>
      </c>
      <c r="N195">
        <v>10</v>
      </c>
      <c r="O195">
        <v>60</v>
      </c>
      <c r="P195">
        <v>70</v>
      </c>
    </row>
    <row r="196" spans="1:16" x14ac:dyDescent="0.3">
      <c r="A196">
        <v>541</v>
      </c>
      <c r="B196" s="1">
        <v>40567</v>
      </c>
      <c r="C196">
        <v>1</v>
      </c>
      <c r="D196">
        <v>0</v>
      </c>
      <c r="E196">
        <v>1</v>
      </c>
      <c r="F196">
        <v>16</v>
      </c>
      <c r="G196" t="b">
        <v>0</v>
      </c>
      <c r="H196">
        <v>1</v>
      </c>
      <c r="I196">
        <v>1</v>
      </c>
      <c r="J196">
        <v>0.16</v>
      </c>
      <c r="K196">
        <v>0.1515</v>
      </c>
      <c r="L196">
        <v>0.47</v>
      </c>
      <c r="M196">
        <v>0.25369999999999998</v>
      </c>
      <c r="N196">
        <v>4</v>
      </c>
      <c r="O196">
        <v>66</v>
      </c>
      <c r="P196">
        <v>70</v>
      </c>
    </row>
    <row r="197" spans="1:16" x14ac:dyDescent="0.3">
      <c r="A197">
        <v>135</v>
      </c>
      <c r="B197" s="1">
        <v>40549</v>
      </c>
      <c r="C197">
        <v>1</v>
      </c>
      <c r="D197">
        <v>0</v>
      </c>
      <c r="E197">
        <v>1</v>
      </c>
      <c r="F197">
        <v>20</v>
      </c>
      <c r="G197" t="b">
        <v>0</v>
      </c>
      <c r="H197">
        <v>4</v>
      </c>
      <c r="I197">
        <v>1</v>
      </c>
      <c r="J197">
        <v>0.2</v>
      </c>
      <c r="K197">
        <v>0.21210000000000001</v>
      </c>
      <c r="L197">
        <v>0.51</v>
      </c>
      <c r="M197">
        <v>0.16420000000000001</v>
      </c>
      <c r="N197">
        <v>3</v>
      </c>
      <c r="O197">
        <v>66</v>
      </c>
      <c r="P197">
        <v>69</v>
      </c>
    </row>
    <row r="198" spans="1:16" x14ac:dyDescent="0.3">
      <c r="A198">
        <v>179</v>
      </c>
      <c r="B198" s="1">
        <v>40551</v>
      </c>
      <c r="C198">
        <v>1</v>
      </c>
      <c r="D198">
        <v>0</v>
      </c>
      <c r="E198">
        <v>1</v>
      </c>
      <c r="F198">
        <v>17</v>
      </c>
      <c r="G198" t="b">
        <v>0</v>
      </c>
      <c r="H198">
        <v>6</v>
      </c>
      <c r="I198">
        <v>1</v>
      </c>
      <c r="J198">
        <v>0.16</v>
      </c>
      <c r="K198">
        <v>0.1212</v>
      </c>
      <c r="L198">
        <v>0.37</v>
      </c>
      <c r="M198">
        <v>0.55220000000000002</v>
      </c>
      <c r="N198">
        <v>5</v>
      </c>
      <c r="O198">
        <v>64</v>
      </c>
      <c r="P198">
        <v>69</v>
      </c>
    </row>
    <row r="199" spans="1:16" x14ac:dyDescent="0.3">
      <c r="A199">
        <v>270</v>
      </c>
      <c r="B199" s="1">
        <v>40555</v>
      </c>
      <c r="C199">
        <v>1</v>
      </c>
      <c r="D199">
        <v>0</v>
      </c>
      <c r="E199">
        <v>1</v>
      </c>
      <c r="F199">
        <v>16</v>
      </c>
      <c r="G199" t="b">
        <v>0</v>
      </c>
      <c r="H199">
        <v>3</v>
      </c>
      <c r="I199">
        <v>1</v>
      </c>
      <c r="J199">
        <v>0.22</v>
      </c>
      <c r="K199">
        <v>0.19700000000000001</v>
      </c>
      <c r="L199">
        <v>0.44</v>
      </c>
      <c r="M199">
        <v>0.32840000000000003</v>
      </c>
      <c r="N199">
        <v>5</v>
      </c>
      <c r="O199">
        <v>63</v>
      </c>
      <c r="P199">
        <v>68</v>
      </c>
    </row>
    <row r="200" spans="1:16" x14ac:dyDescent="0.3">
      <c r="A200">
        <v>316</v>
      </c>
      <c r="B200" s="1">
        <v>40557</v>
      </c>
      <c r="C200">
        <v>1</v>
      </c>
      <c r="D200">
        <v>0</v>
      </c>
      <c r="E200">
        <v>1</v>
      </c>
      <c r="F200">
        <v>15</v>
      </c>
      <c r="G200" t="b">
        <v>0</v>
      </c>
      <c r="H200">
        <v>5</v>
      </c>
      <c r="I200">
        <v>1</v>
      </c>
      <c r="J200">
        <v>0.24</v>
      </c>
      <c r="K200">
        <v>0.2424</v>
      </c>
      <c r="L200">
        <v>0.38</v>
      </c>
      <c r="M200">
        <v>0.16420000000000001</v>
      </c>
      <c r="N200">
        <v>9</v>
      </c>
      <c r="O200">
        <v>59</v>
      </c>
      <c r="P200">
        <v>68</v>
      </c>
    </row>
    <row r="201" spans="1:16" x14ac:dyDescent="0.3">
      <c r="A201">
        <v>321</v>
      </c>
      <c r="B201" s="1">
        <v>40557</v>
      </c>
      <c r="C201">
        <v>1</v>
      </c>
      <c r="D201">
        <v>0</v>
      </c>
      <c r="E201">
        <v>1</v>
      </c>
      <c r="F201">
        <v>20</v>
      </c>
      <c r="G201" t="b">
        <v>0</v>
      </c>
      <c r="H201">
        <v>5</v>
      </c>
      <c r="I201">
        <v>1</v>
      </c>
      <c r="J201">
        <v>0.18</v>
      </c>
      <c r="K201">
        <v>0.2424</v>
      </c>
      <c r="L201">
        <v>0.59</v>
      </c>
      <c r="M201">
        <v>0</v>
      </c>
      <c r="N201">
        <v>0</v>
      </c>
      <c r="O201">
        <v>68</v>
      </c>
      <c r="P201">
        <v>68</v>
      </c>
    </row>
    <row r="202" spans="1:16" x14ac:dyDescent="0.3">
      <c r="A202">
        <v>443</v>
      </c>
      <c r="B202" s="1">
        <v>40563</v>
      </c>
      <c r="C202">
        <v>1</v>
      </c>
      <c r="D202">
        <v>0</v>
      </c>
      <c r="E202">
        <v>1</v>
      </c>
      <c r="F202">
        <v>11</v>
      </c>
      <c r="G202" t="b">
        <v>0</v>
      </c>
      <c r="H202">
        <v>4</v>
      </c>
      <c r="I202">
        <v>2</v>
      </c>
      <c r="J202">
        <v>0.28000000000000003</v>
      </c>
      <c r="K202">
        <v>0.2727</v>
      </c>
      <c r="L202">
        <v>0.45</v>
      </c>
      <c r="M202">
        <v>0.16420000000000001</v>
      </c>
      <c r="N202">
        <v>5</v>
      </c>
      <c r="O202">
        <v>63</v>
      </c>
      <c r="P202">
        <v>68</v>
      </c>
    </row>
    <row r="203" spans="1:16" x14ac:dyDescent="0.3">
      <c r="A203">
        <v>463</v>
      </c>
      <c r="B203" s="1">
        <v>40564</v>
      </c>
      <c r="C203">
        <v>1</v>
      </c>
      <c r="D203">
        <v>0</v>
      </c>
      <c r="E203">
        <v>1</v>
      </c>
      <c r="F203">
        <v>7</v>
      </c>
      <c r="G203" t="b">
        <v>0</v>
      </c>
      <c r="H203">
        <v>5</v>
      </c>
      <c r="I203">
        <v>1</v>
      </c>
      <c r="J203">
        <v>0.2</v>
      </c>
      <c r="K203">
        <v>0.18179999999999999</v>
      </c>
      <c r="L203">
        <v>0.51</v>
      </c>
      <c r="M203">
        <v>0.28360000000000002</v>
      </c>
      <c r="N203">
        <v>2</v>
      </c>
      <c r="O203">
        <v>66</v>
      </c>
      <c r="P203">
        <v>68</v>
      </c>
    </row>
    <row r="204" spans="1:16" x14ac:dyDescent="0.3">
      <c r="A204">
        <v>562</v>
      </c>
      <c r="B204" s="1">
        <v>40568</v>
      </c>
      <c r="C204">
        <v>1</v>
      </c>
      <c r="D204">
        <v>0</v>
      </c>
      <c r="E204">
        <v>1</v>
      </c>
      <c r="F204">
        <v>14</v>
      </c>
      <c r="G204" t="b">
        <v>0</v>
      </c>
      <c r="H204">
        <v>2</v>
      </c>
      <c r="I204">
        <v>2</v>
      </c>
      <c r="J204">
        <v>0.3</v>
      </c>
      <c r="K204">
        <v>0.33329999999999999</v>
      </c>
      <c r="L204">
        <v>0.45</v>
      </c>
      <c r="M204">
        <v>0</v>
      </c>
      <c r="N204">
        <v>11</v>
      </c>
      <c r="O204">
        <v>57</v>
      </c>
      <c r="P204">
        <v>68</v>
      </c>
    </row>
    <row r="205" spans="1:16" x14ac:dyDescent="0.3">
      <c r="A205">
        <v>18</v>
      </c>
      <c r="B205" s="1">
        <v>40544</v>
      </c>
      <c r="C205">
        <v>1</v>
      </c>
      <c r="D205">
        <v>0</v>
      </c>
      <c r="E205">
        <v>1</v>
      </c>
      <c r="F205">
        <v>17</v>
      </c>
      <c r="G205" t="b">
        <v>0</v>
      </c>
      <c r="H205">
        <v>6</v>
      </c>
      <c r="I205">
        <v>2</v>
      </c>
      <c r="J205">
        <v>0.44</v>
      </c>
      <c r="L205">
        <v>0.82</v>
      </c>
      <c r="M205">
        <v>0.28360000000000002</v>
      </c>
      <c r="N205">
        <v>15</v>
      </c>
      <c r="O205">
        <v>52</v>
      </c>
      <c r="P205">
        <v>67</v>
      </c>
    </row>
    <row r="206" spans="1:16" x14ac:dyDescent="0.3">
      <c r="A206">
        <v>128</v>
      </c>
      <c r="B206" s="1">
        <v>40549</v>
      </c>
      <c r="C206">
        <v>1</v>
      </c>
      <c r="D206">
        <v>0</v>
      </c>
      <c r="E206">
        <v>1</v>
      </c>
      <c r="F206">
        <v>13</v>
      </c>
      <c r="G206" t="b">
        <v>0</v>
      </c>
      <c r="H206">
        <v>4</v>
      </c>
      <c r="I206">
        <v>1</v>
      </c>
      <c r="J206">
        <v>0.26</v>
      </c>
      <c r="K206">
        <v>0.2727</v>
      </c>
      <c r="L206">
        <v>0.35</v>
      </c>
      <c r="M206">
        <v>0.1045</v>
      </c>
      <c r="N206">
        <v>12</v>
      </c>
      <c r="O206">
        <v>55</v>
      </c>
      <c r="P206">
        <v>67</v>
      </c>
    </row>
    <row r="207" spans="1:16" x14ac:dyDescent="0.3">
      <c r="A207">
        <v>149</v>
      </c>
      <c r="B207" s="1">
        <v>40550</v>
      </c>
      <c r="C207">
        <v>1</v>
      </c>
      <c r="D207">
        <v>0</v>
      </c>
      <c r="E207">
        <v>1</v>
      </c>
      <c r="F207">
        <v>11</v>
      </c>
      <c r="G207" t="b">
        <v>0</v>
      </c>
      <c r="H207">
        <v>5</v>
      </c>
      <c r="I207">
        <v>2</v>
      </c>
      <c r="J207">
        <v>0.2</v>
      </c>
      <c r="K207">
        <v>0.19700000000000001</v>
      </c>
      <c r="L207">
        <v>0.4</v>
      </c>
      <c r="M207">
        <v>0.22389999999999999</v>
      </c>
      <c r="N207">
        <v>19</v>
      </c>
      <c r="O207">
        <v>48</v>
      </c>
      <c r="P207">
        <v>67</v>
      </c>
    </row>
    <row r="208" spans="1:16" x14ac:dyDescent="0.3">
      <c r="A208">
        <v>367</v>
      </c>
      <c r="B208" s="1">
        <v>40559</v>
      </c>
      <c r="C208">
        <v>1</v>
      </c>
      <c r="D208">
        <v>0</v>
      </c>
      <c r="E208">
        <v>1</v>
      </c>
      <c r="F208">
        <v>18</v>
      </c>
      <c r="G208" t="b">
        <v>0</v>
      </c>
      <c r="H208">
        <v>0</v>
      </c>
      <c r="I208">
        <v>1</v>
      </c>
      <c r="J208">
        <v>0.2</v>
      </c>
      <c r="K208">
        <v>0.21210000000000001</v>
      </c>
      <c r="L208">
        <v>0.4</v>
      </c>
      <c r="M208">
        <v>0.16420000000000001</v>
      </c>
      <c r="N208">
        <v>11</v>
      </c>
      <c r="O208">
        <v>56</v>
      </c>
      <c r="P208">
        <v>67</v>
      </c>
    </row>
    <row r="209" spans="1:16" x14ac:dyDescent="0.3">
      <c r="A209">
        <v>496</v>
      </c>
      <c r="B209" s="1">
        <v>40565</v>
      </c>
      <c r="C209">
        <v>1</v>
      </c>
      <c r="D209">
        <v>0</v>
      </c>
      <c r="E209">
        <v>1</v>
      </c>
      <c r="F209">
        <v>17</v>
      </c>
      <c r="G209" t="b">
        <v>0</v>
      </c>
      <c r="H209">
        <v>6</v>
      </c>
      <c r="I209">
        <v>1</v>
      </c>
      <c r="J209">
        <v>0.12</v>
      </c>
      <c r="K209">
        <v>0.19700000000000001</v>
      </c>
      <c r="L209">
        <v>0.28000000000000003</v>
      </c>
      <c r="M209">
        <v>0</v>
      </c>
      <c r="N209">
        <v>8</v>
      </c>
      <c r="O209">
        <v>59</v>
      </c>
      <c r="P209">
        <v>67</v>
      </c>
    </row>
    <row r="210" spans="1:16" x14ac:dyDescent="0.3">
      <c r="A210">
        <v>41</v>
      </c>
      <c r="B210" s="1">
        <v>40545</v>
      </c>
      <c r="C210">
        <v>1</v>
      </c>
      <c r="D210">
        <v>0</v>
      </c>
      <c r="E210">
        <v>1</v>
      </c>
      <c r="F210">
        <v>17</v>
      </c>
      <c r="G210" t="b">
        <v>0</v>
      </c>
      <c r="H210">
        <v>0</v>
      </c>
      <c r="I210">
        <v>1</v>
      </c>
      <c r="J210">
        <v>0.34</v>
      </c>
      <c r="K210">
        <v>0.33329999999999999</v>
      </c>
      <c r="L210">
        <v>0.56999999999999995</v>
      </c>
      <c r="M210">
        <v>0.19400000000000001</v>
      </c>
      <c r="N210">
        <v>7</v>
      </c>
      <c r="O210">
        <v>58</v>
      </c>
      <c r="P210">
        <v>65</v>
      </c>
    </row>
    <row r="211" spans="1:16" x14ac:dyDescent="0.3">
      <c r="A211">
        <v>84</v>
      </c>
      <c r="B211" s="1">
        <v>40547</v>
      </c>
      <c r="C211">
        <v>1</v>
      </c>
      <c r="D211">
        <v>0</v>
      </c>
      <c r="E211">
        <v>1</v>
      </c>
      <c r="F211">
        <v>15</v>
      </c>
      <c r="G211" t="b">
        <v>0</v>
      </c>
      <c r="H211">
        <v>2</v>
      </c>
      <c r="I211">
        <v>1</v>
      </c>
      <c r="J211">
        <v>0.28000000000000003</v>
      </c>
      <c r="K211">
        <v>0.2727</v>
      </c>
      <c r="L211">
        <v>0.52</v>
      </c>
      <c r="M211">
        <v>0.25369999999999998</v>
      </c>
      <c r="N211">
        <v>17</v>
      </c>
      <c r="O211">
        <v>48</v>
      </c>
      <c r="P211">
        <v>65</v>
      </c>
    </row>
    <row r="212" spans="1:16" x14ac:dyDescent="0.3">
      <c r="A212">
        <v>471</v>
      </c>
      <c r="B212" s="1">
        <v>40564</v>
      </c>
      <c r="C212">
        <v>1</v>
      </c>
      <c r="D212">
        <v>0</v>
      </c>
      <c r="E212">
        <v>1</v>
      </c>
      <c r="F212">
        <v>15</v>
      </c>
      <c r="G212" t="b">
        <v>0</v>
      </c>
      <c r="H212">
        <v>5</v>
      </c>
      <c r="I212">
        <v>1</v>
      </c>
      <c r="J212">
        <v>0.16</v>
      </c>
      <c r="K212">
        <v>0.1212</v>
      </c>
      <c r="L212">
        <v>0.26</v>
      </c>
      <c r="M212">
        <v>0.44779999999999998</v>
      </c>
      <c r="N212">
        <v>4</v>
      </c>
      <c r="O212">
        <v>61</v>
      </c>
      <c r="P212">
        <v>65</v>
      </c>
    </row>
    <row r="213" spans="1:16" x14ac:dyDescent="0.3">
      <c r="A213">
        <v>518</v>
      </c>
      <c r="B213" s="1">
        <v>40566</v>
      </c>
      <c r="C213">
        <v>1</v>
      </c>
      <c r="D213">
        <v>0</v>
      </c>
      <c r="E213">
        <v>1</v>
      </c>
      <c r="F213">
        <v>16</v>
      </c>
      <c r="G213" t="b">
        <v>0</v>
      </c>
      <c r="H213">
        <v>0</v>
      </c>
      <c r="I213">
        <v>1</v>
      </c>
      <c r="J213">
        <v>0.16</v>
      </c>
      <c r="K213">
        <v>0.13639999999999999</v>
      </c>
      <c r="L213">
        <v>0.26</v>
      </c>
      <c r="M213">
        <v>0.32840000000000003</v>
      </c>
      <c r="N213">
        <v>9</v>
      </c>
      <c r="O213">
        <v>56</v>
      </c>
      <c r="P213">
        <v>65</v>
      </c>
    </row>
    <row r="214" spans="1:16" x14ac:dyDescent="0.3">
      <c r="A214">
        <v>53</v>
      </c>
      <c r="B214" s="1">
        <v>40546</v>
      </c>
      <c r="C214">
        <v>1</v>
      </c>
      <c r="D214">
        <v>0</v>
      </c>
      <c r="E214">
        <v>1</v>
      </c>
      <c r="F214">
        <v>7</v>
      </c>
      <c r="G214" t="b">
        <v>0</v>
      </c>
      <c r="H214">
        <v>1</v>
      </c>
      <c r="I214">
        <v>1</v>
      </c>
      <c r="J214">
        <v>0.14000000000000001</v>
      </c>
      <c r="K214">
        <v>0.13639999999999999</v>
      </c>
      <c r="L214">
        <v>0.5</v>
      </c>
      <c r="M214">
        <v>0.19400000000000001</v>
      </c>
      <c r="N214">
        <v>1</v>
      </c>
      <c r="O214">
        <v>63</v>
      </c>
      <c r="P214">
        <v>64</v>
      </c>
    </row>
    <row r="215" spans="1:16" x14ac:dyDescent="0.3">
      <c r="A215">
        <v>298</v>
      </c>
      <c r="B215" s="1">
        <v>40556</v>
      </c>
      <c r="C215">
        <v>1</v>
      </c>
      <c r="D215">
        <v>0</v>
      </c>
      <c r="E215">
        <v>1</v>
      </c>
      <c r="F215">
        <v>20</v>
      </c>
      <c r="G215" t="b">
        <v>0</v>
      </c>
      <c r="H215">
        <v>4</v>
      </c>
      <c r="I215">
        <v>1</v>
      </c>
      <c r="J215">
        <v>0.16</v>
      </c>
      <c r="K215">
        <v>0.1515</v>
      </c>
      <c r="L215">
        <v>0.47</v>
      </c>
      <c r="M215">
        <v>0.22389999999999999</v>
      </c>
      <c r="N215">
        <v>0</v>
      </c>
      <c r="O215">
        <v>64</v>
      </c>
      <c r="P215">
        <v>64</v>
      </c>
    </row>
    <row r="216" spans="1:16" x14ac:dyDescent="0.3">
      <c r="A216">
        <v>315</v>
      </c>
      <c r="B216" s="1">
        <v>40557</v>
      </c>
      <c r="C216">
        <v>1</v>
      </c>
      <c r="D216">
        <v>0</v>
      </c>
      <c r="E216">
        <v>1</v>
      </c>
      <c r="F216">
        <v>14</v>
      </c>
      <c r="G216" t="b">
        <v>0</v>
      </c>
      <c r="H216">
        <v>5</v>
      </c>
      <c r="I216">
        <v>1</v>
      </c>
      <c r="J216">
        <v>0.22</v>
      </c>
      <c r="K216">
        <v>0.21210000000000001</v>
      </c>
      <c r="L216">
        <v>0.41</v>
      </c>
      <c r="M216">
        <v>0.28360000000000002</v>
      </c>
      <c r="N216">
        <v>5</v>
      </c>
      <c r="O216">
        <v>59</v>
      </c>
      <c r="P216">
        <v>64</v>
      </c>
    </row>
    <row r="217" spans="1:16" x14ac:dyDescent="0.3">
      <c r="A217">
        <v>384</v>
      </c>
      <c r="B217" s="1">
        <v>40560</v>
      </c>
      <c r="C217">
        <v>1</v>
      </c>
      <c r="D217">
        <v>0</v>
      </c>
      <c r="E217">
        <v>1</v>
      </c>
      <c r="F217">
        <v>11</v>
      </c>
      <c r="G217" t="b">
        <v>1</v>
      </c>
      <c r="H217">
        <v>1</v>
      </c>
      <c r="I217">
        <v>2</v>
      </c>
      <c r="J217">
        <v>0.16</v>
      </c>
      <c r="K217">
        <v>0.1515</v>
      </c>
      <c r="L217">
        <v>0.55000000000000004</v>
      </c>
      <c r="M217">
        <v>0.19400000000000001</v>
      </c>
      <c r="N217">
        <v>9</v>
      </c>
      <c r="O217">
        <v>55</v>
      </c>
      <c r="P217">
        <v>64</v>
      </c>
    </row>
    <row r="218" spans="1:16" x14ac:dyDescent="0.3">
      <c r="A218">
        <v>83</v>
      </c>
      <c r="B218" s="1">
        <v>40547</v>
      </c>
      <c r="C218">
        <v>1</v>
      </c>
      <c r="D218">
        <v>0</v>
      </c>
      <c r="E218">
        <v>1</v>
      </c>
      <c r="F218">
        <v>14</v>
      </c>
      <c r="G218" t="b">
        <v>0</v>
      </c>
      <c r="H218">
        <v>2</v>
      </c>
      <c r="I218">
        <v>1</v>
      </c>
      <c r="J218">
        <v>0.26</v>
      </c>
      <c r="K218">
        <v>0.2576</v>
      </c>
      <c r="L218">
        <v>0.52</v>
      </c>
      <c r="M218">
        <v>0.22389999999999999</v>
      </c>
      <c r="N218">
        <v>9</v>
      </c>
      <c r="O218">
        <v>54</v>
      </c>
      <c r="P218">
        <v>63</v>
      </c>
    </row>
    <row r="219" spans="1:16" x14ac:dyDescent="0.3">
      <c r="A219">
        <v>148</v>
      </c>
      <c r="B219" s="1">
        <v>40550</v>
      </c>
      <c r="C219">
        <v>1</v>
      </c>
      <c r="D219">
        <v>0</v>
      </c>
      <c r="E219">
        <v>1</v>
      </c>
      <c r="F219">
        <v>10</v>
      </c>
      <c r="G219" t="b">
        <v>0</v>
      </c>
      <c r="H219">
        <v>5</v>
      </c>
      <c r="I219">
        <v>1</v>
      </c>
      <c r="J219">
        <v>0.22</v>
      </c>
      <c r="K219">
        <v>0.19700000000000001</v>
      </c>
      <c r="L219">
        <v>0.37</v>
      </c>
      <c r="M219">
        <v>0.32840000000000003</v>
      </c>
      <c r="N219">
        <v>16</v>
      </c>
      <c r="O219">
        <v>47</v>
      </c>
      <c r="P219">
        <v>63</v>
      </c>
    </row>
    <row r="220" spans="1:16" x14ac:dyDescent="0.3">
      <c r="A220">
        <v>246</v>
      </c>
      <c r="B220" s="1">
        <v>40554</v>
      </c>
      <c r="C220">
        <v>1</v>
      </c>
      <c r="D220">
        <v>0</v>
      </c>
      <c r="E220">
        <v>1</v>
      </c>
      <c r="F220">
        <v>14</v>
      </c>
      <c r="G220" t="b">
        <v>0</v>
      </c>
      <c r="H220">
        <v>2</v>
      </c>
      <c r="I220">
        <v>2</v>
      </c>
      <c r="J220">
        <v>0.2</v>
      </c>
      <c r="K220">
        <v>0.2273</v>
      </c>
      <c r="L220">
        <v>0.59</v>
      </c>
      <c r="M220">
        <v>8.9599999999999999E-2</v>
      </c>
      <c r="N220">
        <v>3</v>
      </c>
      <c r="O220">
        <v>60</v>
      </c>
      <c r="P220">
        <v>63</v>
      </c>
    </row>
    <row r="221" spans="1:16" x14ac:dyDescent="0.3">
      <c r="A221">
        <v>466</v>
      </c>
      <c r="B221" s="1">
        <v>40564</v>
      </c>
      <c r="C221">
        <v>1</v>
      </c>
      <c r="D221">
        <v>0</v>
      </c>
      <c r="E221">
        <v>1</v>
      </c>
      <c r="F221">
        <v>10</v>
      </c>
      <c r="G221" t="b">
        <v>0</v>
      </c>
      <c r="H221">
        <v>5</v>
      </c>
      <c r="I221">
        <v>1</v>
      </c>
      <c r="J221">
        <v>0.2</v>
      </c>
      <c r="K221">
        <v>0.16669999999999999</v>
      </c>
      <c r="L221">
        <v>0.47</v>
      </c>
      <c r="M221">
        <v>0.4627</v>
      </c>
      <c r="N221">
        <v>6</v>
      </c>
      <c r="O221">
        <v>57</v>
      </c>
      <c r="P221">
        <v>63</v>
      </c>
    </row>
    <row r="222" spans="1:16" x14ac:dyDescent="0.3">
      <c r="A222">
        <v>490</v>
      </c>
      <c r="B222" s="1">
        <v>40565</v>
      </c>
      <c r="C222">
        <v>1</v>
      </c>
      <c r="D222">
        <v>0</v>
      </c>
      <c r="E222">
        <v>1</v>
      </c>
      <c r="F222">
        <v>11</v>
      </c>
      <c r="G222" t="b">
        <v>0</v>
      </c>
      <c r="H222">
        <v>6</v>
      </c>
      <c r="I222">
        <v>2</v>
      </c>
      <c r="J222">
        <v>0.06</v>
      </c>
      <c r="K222">
        <v>7.5800000000000006E-2</v>
      </c>
      <c r="L222">
        <v>0.38</v>
      </c>
      <c r="M222">
        <v>0.1343</v>
      </c>
      <c r="N222">
        <v>4</v>
      </c>
      <c r="O222">
        <v>59</v>
      </c>
      <c r="P222">
        <v>63</v>
      </c>
    </row>
    <row r="223" spans="1:16" x14ac:dyDescent="0.3">
      <c r="A223">
        <v>537</v>
      </c>
      <c r="B223" s="1">
        <v>40567</v>
      </c>
      <c r="C223">
        <v>1</v>
      </c>
      <c r="D223">
        <v>0</v>
      </c>
      <c r="E223">
        <v>1</v>
      </c>
      <c r="F223">
        <v>12</v>
      </c>
      <c r="G223" t="b">
        <v>0</v>
      </c>
      <c r="H223">
        <v>1</v>
      </c>
      <c r="I223">
        <v>2</v>
      </c>
      <c r="J223">
        <v>0.12</v>
      </c>
      <c r="K223">
        <v>0.13639999999999999</v>
      </c>
      <c r="L223">
        <v>0.42</v>
      </c>
      <c r="M223">
        <v>0.19400000000000001</v>
      </c>
      <c r="N223">
        <v>11</v>
      </c>
      <c r="O223">
        <v>52</v>
      </c>
      <c r="P223">
        <v>63</v>
      </c>
    </row>
    <row r="224" spans="1:16" x14ac:dyDescent="0.3">
      <c r="A224">
        <v>106</v>
      </c>
      <c r="B224" s="1">
        <v>40548</v>
      </c>
      <c r="C224">
        <v>1</v>
      </c>
      <c r="D224">
        <v>0</v>
      </c>
      <c r="E224">
        <v>1</v>
      </c>
      <c r="F224">
        <v>14</v>
      </c>
      <c r="G224" t="b">
        <v>0</v>
      </c>
      <c r="H224">
        <v>3</v>
      </c>
      <c r="I224">
        <v>1</v>
      </c>
      <c r="J224">
        <v>0.3</v>
      </c>
      <c r="K224">
        <v>0.28789999999999999</v>
      </c>
      <c r="L224">
        <v>0.28000000000000003</v>
      </c>
      <c r="M224">
        <v>0.19400000000000001</v>
      </c>
      <c r="N224">
        <v>10</v>
      </c>
      <c r="O224">
        <v>52</v>
      </c>
      <c r="P224">
        <v>62</v>
      </c>
    </row>
    <row r="225" spans="1:16" x14ac:dyDescent="0.3">
      <c r="A225">
        <v>107</v>
      </c>
      <c r="B225" s="1">
        <v>40548</v>
      </c>
      <c r="C225">
        <v>1</v>
      </c>
      <c r="D225">
        <v>0</v>
      </c>
      <c r="E225">
        <v>1</v>
      </c>
      <c r="F225">
        <v>15</v>
      </c>
      <c r="G225" t="b">
        <v>0</v>
      </c>
      <c r="H225">
        <v>3</v>
      </c>
      <c r="I225">
        <v>1</v>
      </c>
      <c r="J225">
        <v>0.3</v>
      </c>
      <c r="K225">
        <v>0.28789999999999999</v>
      </c>
      <c r="L225">
        <v>0.28000000000000003</v>
      </c>
      <c r="M225">
        <v>0.19400000000000001</v>
      </c>
      <c r="N225">
        <v>7</v>
      </c>
      <c r="O225">
        <v>55</v>
      </c>
      <c r="P225">
        <v>62</v>
      </c>
    </row>
    <row r="226" spans="1:16" x14ac:dyDescent="0.3">
      <c r="A226">
        <v>130</v>
      </c>
      <c r="B226" s="1">
        <v>40549</v>
      </c>
      <c r="C226">
        <v>1</v>
      </c>
      <c r="D226">
        <v>0</v>
      </c>
      <c r="E226">
        <v>1</v>
      </c>
      <c r="F226">
        <v>15</v>
      </c>
      <c r="G226" t="b">
        <v>0</v>
      </c>
      <c r="H226">
        <v>4</v>
      </c>
      <c r="I226">
        <v>1</v>
      </c>
      <c r="J226">
        <v>0.28000000000000003</v>
      </c>
      <c r="K226">
        <v>0.2727</v>
      </c>
      <c r="L226">
        <v>0.36</v>
      </c>
      <c r="M226">
        <v>0</v>
      </c>
      <c r="N226">
        <v>8</v>
      </c>
      <c r="O226">
        <v>54</v>
      </c>
      <c r="P226">
        <v>62</v>
      </c>
    </row>
    <row r="227" spans="1:16" x14ac:dyDescent="0.3">
      <c r="A227">
        <v>173</v>
      </c>
      <c r="B227" s="1">
        <v>40551</v>
      </c>
      <c r="C227">
        <v>1</v>
      </c>
      <c r="D227">
        <v>0</v>
      </c>
      <c r="E227">
        <v>1</v>
      </c>
      <c r="F227">
        <v>11</v>
      </c>
      <c r="G227" t="b">
        <v>0</v>
      </c>
      <c r="H227">
        <v>6</v>
      </c>
      <c r="I227">
        <v>2</v>
      </c>
      <c r="J227">
        <v>0.2</v>
      </c>
      <c r="K227">
        <v>0.18179999999999999</v>
      </c>
      <c r="L227">
        <v>0.69</v>
      </c>
      <c r="M227">
        <v>0.3881</v>
      </c>
      <c r="N227">
        <v>2</v>
      </c>
      <c r="O227">
        <v>60</v>
      </c>
      <c r="P227">
        <v>62</v>
      </c>
    </row>
    <row r="228" spans="1:16" x14ac:dyDescent="0.3">
      <c r="A228">
        <v>203</v>
      </c>
      <c r="B228" s="1">
        <v>40552</v>
      </c>
      <c r="C228">
        <v>1</v>
      </c>
      <c r="D228">
        <v>0</v>
      </c>
      <c r="E228">
        <v>1</v>
      </c>
      <c r="F228">
        <v>17</v>
      </c>
      <c r="G228" t="b">
        <v>0</v>
      </c>
      <c r="H228">
        <v>0</v>
      </c>
      <c r="I228">
        <v>1</v>
      </c>
      <c r="J228">
        <v>0.18</v>
      </c>
      <c r="K228">
        <v>0.1515</v>
      </c>
      <c r="L228">
        <v>0.37</v>
      </c>
      <c r="M228">
        <v>0.3881</v>
      </c>
      <c r="N228">
        <v>3</v>
      </c>
      <c r="O228">
        <v>59</v>
      </c>
      <c r="P228">
        <v>62</v>
      </c>
    </row>
    <row r="229" spans="1:16" x14ac:dyDescent="0.3">
      <c r="A229">
        <v>470</v>
      </c>
      <c r="B229" s="1">
        <v>40564</v>
      </c>
      <c r="C229">
        <v>1</v>
      </c>
      <c r="D229">
        <v>0</v>
      </c>
      <c r="E229">
        <v>1</v>
      </c>
      <c r="F229">
        <v>14</v>
      </c>
      <c r="G229" t="b">
        <v>0</v>
      </c>
      <c r="H229">
        <v>5</v>
      </c>
      <c r="I229">
        <v>1</v>
      </c>
      <c r="J229">
        <v>0.2</v>
      </c>
      <c r="K229">
        <v>0.1515</v>
      </c>
      <c r="L229">
        <v>0.25</v>
      </c>
      <c r="M229">
        <v>0.52239999999999998</v>
      </c>
      <c r="N229">
        <v>6</v>
      </c>
      <c r="O229">
        <v>56</v>
      </c>
      <c r="P229">
        <v>62</v>
      </c>
    </row>
    <row r="230" spans="1:16" x14ac:dyDescent="0.3">
      <c r="A230">
        <v>58</v>
      </c>
      <c r="B230" s="1">
        <v>40546</v>
      </c>
      <c r="C230">
        <v>1</v>
      </c>
      <c r="D230">
        <v>0</v>
      </c>
      <c r="E230">
        <v>1</v>
      </c>
      <c r="F230">
        <v>12</v>
      </c>
      <c r="G230" t="b">
        <v>0</v>
      </c>
      <c r="H230">
        <v>1</v>
      </c>
      <c r="I230">
        <v>1</v>
      </c>
      <c r="J230">
        <v>0.22</v>
      </c>
      <c r="K230">
        <v>0.21210000000000001</v>
      </c>
      <c r="L230">
        <v>0.35</v>
      </c>
      <c r="M230">
        <v>0.29849999999999999</v>
      </c>
      <c r="N230">
        <v>13</v>
      </c>
      <c r="O230">
        <v>48</v>
      </c>
      <c r="P230">
        <v>61</v>
      </c>
    </row>
    <row r="231" spans="1:16" x14ac:dyDescent="0.3">
      <c r="A231">
        <v>59</v>
      </c>
      <c r="B231" s="1">
        <v>40546</v>
      </c>
      <c r="C231">
        <v>1</v>
      </c>
      <c r="D231">
        <v>0</v>
      </c>
      <c r="E231">
        <v>1</v>
      </c>
      <c r="F231">
        <v>13</v>
      </c>
      <c r="G231" t="b">
        <v>0</v>
      </c>
      <c r="H231">
        <v>1</v>
      </c>
      <c r="I231">
        <v>1</v>
      </c>
      <c r="J231">
        <v>0.24</v>
      </c>
      <c r="L231">
        <v>0.35</v>
      </c>
      <c r="M231">
        <v>0.28360000000000002</v>
      </c>
      <c r="N231">
        <v>8</v>
      </c>
      <c r="O231">
        <v>53</v>
      </c>
      <c r="P231">
        <v>61</v>
      </c>
    </row>
    <row r="232" spans="1:16" x14ac:dyDescent="0.3">
      <c r="A232">
        <v>172</v>
      </c>
      <c r="B232" s="1">
        <v>40551</v>
      </c>
      <c r="C232">
        <v>1</v>
      </c>
      <c r="D232">
        <v>0</v>
      </c>
      <c r="E232">
        <v>1</v>
      </c>
      <c r="F232">
        <v>10</v>
      </c>
      <c r="G232" t="b">
        <v>0</v>
      </c>
      <c r="H232">
        <v>6</v>
      </c>
      <c r="I232">
        <v>2</v>
      </c>
      <c r="J232">
        <v>0.18</v>
      </c>
      <c r="K232">
        <v>0.19700000000000001</v>
      </c>
      <c r="L232">
        <v>0.8</v>
      </c>
      <c r="M232">
        <v>0.16420000000000001</v>
      </c>
      <c r="N232">
        <v>5</v>
      </c>
      <c r="O232">
        <v>56</v>
      </c>
      <c r="P232">
        <v>61</v>
      </c>
    </row>
    <row r="233" spans="1:16" x14ac:dyDescent="0.3">
      <c r="A233">
        <v>313</v>
      </c>
      <c r="B233" s="1">
        <v>40557</v>
      </c>
      <c r="C233">
        <v>1</v>
      </c>
      <c r="D233">
        <v>0</v>
      </c>
      <c r="E233">
        <v>1</v>
      </c>
      <c r="F233">
        <v>12</v>
      </c>
      <c r="G233" t="b">
        <v>0</v>
      </c>
      <c r="H233">
        <v>5</v>
      </c>
      <c r="I233">
        <v>1</v>
      </c>
      <c r="J233">
        <v>0.2</v>
      </c>
      <c r="K233">
        <v>0.19700000000000001</v>
      </c>
      <c r="L233">
        <v>0.44</v>
      </c>
      <c r="M233">
        <v>0.25369999999999998</v>
      </c>
      <c r="N233">
        <v>2</v>
      </c>
      <c r="O233">
        <v>59</v>
      </c>
      <c r="P233">
        <v>61</v>
      </c>
    </row>
    <row r="234" spans="1:16" x14ac:dyDescent="0.3">
      <c r="A234">
        <v>368</v>
      </c>
      <c r="B234" s="1">
        <v>40559</v>
      </c>
      <c r="C234">
        <v>1</v>
      </c>
      <c r="D234">
        <v>0</v>
      </c>
      <c r="E234">
        <v>1</v>
      </c>
      <c r="F234">
        <v>19</v>
      </c>
      <c r="G234" t="b">
        <v>0</v>
      </c>
      <c r="H234">
        <v>0</v>
      </c>
      <c r="I234">
        <v>1</v>
      </c>
      <c r="J234">
        <v>0.18</v>
      </c>
      <c r="K234">
        <v>0.19700000000000001</v>
      </c>
      <c r="L234">
        <v>0.47</v>
      </c>
      <c r="M234">
        <v>0.1343</v>
      </c>
      <c r="N234">
        <v>14</v>
      </c>
      <c r="O234">
        <v>47</v>
      </c>
      <c r="P234">
        <v>61</v>
      </c>
    </row>
    <row r="235" spans="1:16" x14ac:dyDescent="0.3">
      <c r="A235">
        <v>401</v>
      </c>
      <c r="B235" s="1">
        <v>40561</v>
      </c>
      <c r="C235">
        <v>1</v>
      </c>
      <c r="D235">
        <v>0</v>
      </c>
      <c r="E235">
        <v>1</v>
      </c>
      <c r="F235">
        <v>16</v>
      </c>
      <c r="G235" t="b">
        <v>0</v>
      </c>
      <c r="H235">
        <v>2</v>
      </c>
      <c r="I235">
        <v>2</v>
      </c>
      <c r="J235">
        <v>0.22</v>
      </c>
      <c r="K235">
        <v>0.2273</v>
      </c>
      <c r="L235">
        <v>0.87</v>
      </c>
      <c r="M235">
        <v>0.19400000000000001</v>
      </c>
      <c r="N235">
        <v>0</v>
      </c>
      <c r="O235">
        <v>61</v>
      </c>
      <c r="P235">
        <v>61</v>
      </c>
    </row>
    <row r="236" spans="1:16" x14ac:dyDescent="0.3">
      <c r="A236">
        <v>559</v>
      </c>
      <c r="B236" s="1">
        <v>40568</v>
      </c>
      <c r="C236">
        <v>1</v>
      </c>
      <c r="D236">
        <v>0</v>
      </c>
      <c r="E236">
        <v>1</v>
      </c>
      <c r="F236">
        <v>11</v>
      </c>
      <c r="G236" t="b">
        <v>0</v>
      </c>
      <c r="H236">
        <v>2</v>
      </c>
      <c r="I236">
        <v>2</v>
      </c>
      <c r="J236">
        <v>0.24</v>
      </c>
      <c r="K236">
        <v>0.2424</v>
      </c>
      <c r="L236">
        <v>0.6</v>
      </c>
      <c r="M236">
        <v>0.1343</v>
      </c>
      <c r="N236">
        <v>6</v>
      </c>
      <c r="O236">
        <v>55</v>
      </c>
      <c r="P236">
        <v>61</v>
      </c>
    </row>
    <row r="237" spans="1:16" x14ac:dyDescent="0.3">
      <c r="A237">
        <v>293</v>
      </c>
      <c r="B237" s="1">
        <v>40556</v>
      </c>
      <c r="C237">
        <v>1</v>
      </c>
      <c r="D237">
        <v>0</v>
      </c>
      <c r="E237">
        <v>1</v>
      </c>
      <c r="F237">
        <v>15</v>
      </c>
      <c r="G237" t="b">
        <v>0</v>
      </c>
      <c r="H237">
        <v>4</v>
      </c>
      <c r="I237">
        <v>1</v>
      </c>
      <c r="J237">
        <v>0.24</v>
      </c>
      <c r="K237">
        <v>0.21210000000000001</v>
      </c>
      <c r="L237">
        <v>0.38</v>
      </c>
      <c r="M237">
        <v>0.29849999999999999</v>
      </c>
      <c r="N237">
        <v>5</v>
      </c>
      <c r="O237">
        <v>55</v>
      </c>
      <c r="P237">
        <v>60</v>
      </c>
    </row>
    <row r="238" spans="1:16" x14ac:dyDescent="0.3">
      <c r="A238">
        <v>392</v>
      </c>
      <c r="B238" s="1">
        <v>40560</v>
      </c>
      <c r="C238">
        <v>1</v>
      </c>
      <c r="D238">
        <v>0</v>
      </c>
      <c r="E238">
        <v>1</v>
      </c>
      <c r="F238">
        <v>19</v>
      </c>
      <c r="G238" t="b">
        <v>1</v>
      </c>
      <c r="H238">
        <v>1</v>
      </c>
      <c r="I238">
        <v>3</v>
      </c>
      <c r="J238">
        <v>0.18</v>
      </c>
      <c r="K238">
        <v>0.18179999999999999</v>
      </c>
      <c r="L238">
        <v>0.59</v>
      </c>
      <c r="M238">
        <v>0.19400000000000001</v>
      </c>
      <c r="N238">
        <v>2</v>
      </c>
      <c r="O238">
        <v>58</v>
      </c>
      <c r="P238">
        <v>60</v>
      </c>
    </row>
    <row r="239" spans="1:16" x14ac:dyDescent="0.3">
      <c r="A239">
        <v>538</v>
      </c>
      <c r="B239" s="1">
        <v>40567</v>
      </c>
      <c r="C239">
        <v>1</v>
      </c>
      <c r="D239">
        <v>0</v>
      </c>
      <c r="E239">
        <v>1</v>
      </c>
      <c r="F239">
        <v>13</v>
      </c>
      <c r="G239" t="b">
        <v>0</v>
      </c>
      <c r="H239">
        <v>1</v>
      </c>
      <c r="I239">
        <v>2</v>
      </c>
      <c r="J239">
        <v>0.14000000000000001</v>
      </c>
      <c r="K239">
        <v>0.13639999999999999</v>
      </c>
      <c r="L239">
        <v>0.43</v>
      </c>
      <c r="M239">
        <v>0.22389999999999999</v>
      </c>
      <c r="N239">
        <v>6</v>
      </c>
      <c r="O239">
        <v>54</v>
      </c>
      <c r="P239">
        <v>60</v>
      </c>
    </row>
    <row r="240" spans="1:16" x14ac:dyDescent="0.3">
      <c r="A240">
        <v>602</v>
      </c>
      <c r="B240" s="1">
        <v>40571</v>
      </c>
      <c r="C240">
        <v>1</v>
      </c>
      <c r="D240">
        <v>0</v>
      </c>
      <c r="E240">
        <v>1</v>
      </c>
      <c r="F240">
        <v>7</v>
      </c>
      <c r="G240" t="b">
        <v>0</v>
      </c>
      <c r="H240">
        <v>5</v>
      </c>
      <c r="I240">
        <v>2</v>
      </c>
      <c r="J240">
        <v>0.16</v>
      </c>
      <c r="K240">
        <v>0.19700000000000001</v>
      </c>
      <c r="L240">
        <v>0.86</v>
      </c>
      <c r="M240">
        <v>8.9599999999999999E-2</v>
      </c>
      <c r="N240">
        <v>2</v>
      </c>
      <c r="O240">
        <v>58</v>
      </c>
      <c r="P240">
        <v>60</v>
      </c>
    </row>
    <row r="241" spans="1:16" x14ac:dyDescent="0.3">
      <c r="A241">
        <v>38</v>
      </c>
      <c r="B241" s="1">
        <v>40545</v>
      </c>
      <c r="C241">
        <v>1</v>
      </c>
      <c r="D241">
        <v>0</v>
      </c>
      <c r="E241">
        <v>1</v>
      </c>
      <c r="F241">
        <v>14</v>
      </c>
      <c r="G241" t="b">
        <v>0</v>
      </c>
      <c r="H241">
        <v>0</v>
      </c>
      <c r="I241">
        <v>3</v>
      </c>
      <c r="J241">
        <v>0.36</v>
      </c>
      <c r="L241">
        <v>0.76</v>
      </c>
      <c r="M241">
        <v>0.19400000000000001</v>
      </c>
      <c r="N241">
        <v>4</v>
      </c>
      <c r="O241">
        <v>55</v>
      </c>
      <c r="P241">
        <v>59</v>
      </c>
    </row>
    <row r="242" spans="1:16" x14ac:dyDescent="0.3">
      <c r="A242">
        <v>126</v>
      </c>
      <c r="B242" s="1">
        <v>40549</v>
      </c>
      <c r="C242">
        <v>1</v>
      </c>
      <c r="D242">
        <v>0</v>
      </c>
      <c r="E242">
        <v>1</v>
      </c>
      <c r="F242">
        <v>11</v>
      </c>
      <c r="G242" t="b">
        <v>0</v>
      </c>
      <c r="H242">
        <v>4</v>
      </c>
      <c r="I242">
        <v>1</v>
      </c>
      <c r="J242">
        <v>0.22</v>
      </c>
      <c r="K242">
        <v>0.2576</v>
      </c>
      <c r="L242">
        <v>0.44</v>
      </c>
      <c r="M242">
        <v>8.9599999999999999E-2</v>
      </c>
      <c r="N242">
        <v>2</v>
      </c>
      <c r="O242">
        <v>57</v>
      </c>
      <c r="P242">
        <v>59</v>
      </c>
    </row>
    <row r="243" spans="1:16" x14ac:dyDescent="0.3">
      <c r="A243">
        <v>150</v>
      </c>
      <c r="B243" s="1">
        <v>40550</v>
      </c>
      <c r="C243">
        <v>1</v>
      </c>
      <c r="D243">
        <v>0</v>
      </c>
      <c r="E243">
        <v>1</v>
      </c>
      <c r="F243">
        <v>12</v>
      </c>
      <c r="G243" t="b">
        <v>0</v>
      </c>
      <c r="H243">
        <v>5</v>
      </c>
      <c r="I243">
        <v>2</v>
      </c>
      <c r="J243">
        <v>0.2</v>
      </c>
      <c r="K243">
        <v>0.19700000000000001</v>
      </c>
      <c r="L243">
        <v>0.37</v>
      </c>
      <c r="M243">
        <v>0.25369999999999998</v>
      </c>
      <c r="N243">
        <v>9</v>
      </c>
      <c r="O243">
        <v>50</v>
      </c>
      <c r="P243">
        <v>59</v>
      </c>
    </row>
    <row r="244" spans="1:16" x14ac:dyDescent="0.3">
      <c r="A244">
        <v>335</v>
      </c>
      <c r="B244" s="1">
        <v>40558</v>
      </c>
      <c r="C244">
        <v>1</v>
      </c>
      <c r="D244">
        <v>0</v>
      </c>
      <c r="E244">
        <v>1</v>
      </c>
      <c r="F244">
        <v>10</v>
      </c>
      <c r="G244" t="b">
        <v>0</v>
      </c>
      <c r="H244">
        <v>6</v>
      </c>
      <c r="I244">
        <v>1</v>
      </c>
      <c r="J244">
        <v>0.18</v>
      </c>
      <c r="K244">
        <v>0.19700000000000001</v>
      </c>
      <c r="L244">
        <v>0.59</v>
      </c>
      <c r="M244">
        <v>0.16420000000000001</v>
      </c>
      <c r="N244">
        <v>2</v>
      </c>
      <c r="O244">
        <v>57</v>
      </c>
      <c r="P244">
        <v>59</v>
      </c>
    </row>
    <row r="245" spans="1:16" x14ac:dyDescent="0.3">
      <c r="A245">
        <v>429</v>
      </c>
      <c r="B245" s="1">
        <v>40562</v>
      </c>
      <c r="C245">
        <v>1</v>
      </c>
      <c r="D245">
        <v>0</v>
      </c>
      <c r="E245">
        <v>1</v>
      </c>
      <c r="F245">
        <v>21</v>
      </c>
      <c r="G245" t="b">
        <v>0</v>
      </c>
      <c r="H245">
        <v>3</v>
      </c>
      <c r="I245">
        <v>1</v>
      </c>
      <c r="J245">
        <v>0.32</v>
      </c>
      <c r="K245">
        <v>0.28789999999999999</v>
      </c>
      <c r="L245">
        <v>0.49</v>
      </c>
      <c r="M245">
        <v>0.41789999999999999</v>
      </c>
      <c r="N245">
        <v>4</v>
      </c>
      <c r="O245">
        <v>55</v>
      </c>
      <c r="P245">
        <v>59</v>
      </c>
    </row>
    <row r="246" spans="1:16" x14ac:dyDescent="0.3">
      <c r="A246">
        <v>430</v>
      </c>
      <c r="B246" s="1">
        <v>40562</v>
      </c>
      <c r="C246">
        <v>1</v>
      </c>
      <c r="D246">
        <v>0</v>
      </c>
      <c r="E246">
        <v>1</v>
      </c>
      <c r="F246">
        <v>22</v>
      </c>
      <c r="G246" t="b">
        <v>0</v>
      </c>
      <c r="H246">
        <v>3</v>
      </c>
      <c r="I246">
        <v>1</v>
      </c>
      <c r="J246">
        <v>0.3</v>
      </c>
      <c r="K246">
        <v>0.30299999999999999</v>
      </c>
      <c r="L246">
        <v>0.52</v>
      </c>
      <c r="M246">
        <v>0.16420000000000001</v>
      </c>
      <c r="N246">
        <v>6</v>
      </c>
      <c r="O246">
        <v>53</v>
      </c>
      <c r="P246">
        <v>59</v>
      </c>
    </row>
    <row r="247" spans="1:16" x14ac:dyDescent="0.3">
      <c r="A247">
        <v>467</v>
      </c>
      <c r="B247" s="1">
        <v>40564</v>
      </c>
      <c r="C247">
        <v>1</v>
      </c>
      <c r="D247">
        <v>0</v>
      </c>
      <c r="E247">
        <v>1</v>
      </c>
      <c r="F247">
        <v>11</v>
      </c>
      <c r="G247" t="b">
        <v>0</v>
      </c>
      <c r="H247">
        <v>5</v>
      </c>
      <c r="I247">
        <v>1</v>
      </c>
      <c r="J247">
        <v>0.22</v>
      </c>
      <c r="K247">
        <v>0.18179999999999999</v>
      </c>
      <c r="L247">
        <v>0.41</v>
      </c>
      <c r="M247">
        <v>0.4627</v>
      </c>
      <c r="N247">
        <v>6</v>
      </c>
      <c r="O247">
        <v>53</v>
      </c>
      <c r="P247">
        <v>59</v>
      </c>
    </row>
    <row r="248" spans="1:16" x14ac:dyDescent="0.3">
      <c r="A248">
        <v>498</v>
      </c>
      <c r="B248" s="1">
        <v>40565</v>
      </c>
      <c r="C248">
        <v>1</v>
      </c>
      <c r="D248">
        <v>0</v>
      </c>
      <c r="E248">
        <v>1</v>
      </c>
      <c r="F248">
        <v>19</v>
      </c>
      <c r="G248" t="b">
        <v>0</v>
      </c>
      <c r="H248">
        <v>6</v>
      </c>
      <c r="I248">
        <v>1</v>
      </c>
      <c r="J248">
        <v>0.08</v>
      </c>
      <c r="K248">
        <v>0.1061</v>
      </c>
      <c r="L248">
        <v>0.35</v>
      </c>
      <c r="M248">
        <v>0.1343</v>
      </c>
      <c r="N248">
        <v>6</v>
      </c>
      <c r="O248">
        <v>53</v>
      </c>
      <c r="P248">
        <v>59</v>
      </c>
    </row>
    <row r="249" spans="1:16" x14ac:dyDescent="0.3">
      <c r="A249">
        <v>546</v>
      </c>
      <c r="B249" s="1">
        <v>40567</v>
      </c>
      <c r="C249">
        <v>1</v>
      </c>
      <c r="D249">
        <v>0</v>
      </c>
      <c r="E249">
        <v>1</v>
      </c>
      <c r="F249">
        <v>21</v>
      </c>
      <c r="G249" t="b">
        <v>0</v>
      </c>
      <c r="H249">
        <v>1</v>
      </c>
      <c r="I249">
        <v>1</v>
      </c>
      <c r="J249">
        <v>0.14000000000000001</v>
      </c>
      <c r="K249">
        <v>0.1515</v>
      </c>
      <c r="L249">
        <v>0.63</v>
      </c>
      <c r="M249">
        <v>0.16420000000000001</v>
      </c>
      <c r="N249">
        <v>6</v>
      </c>
      <c r="O249">
        <v>53</v>
      </c>
      <c r="P249">
        <v>59</v>
      </c>
    </row>
    <row r="250" spans="1:16" x14ac:dyDescent="0.3">
      <c r="A250">
        <v>592</v>
      </c>
      <c r="B250" s="1">
        <v>40570</v>
      </c>
      <c r="C250">
        <v>1</v>
      </c>
      <c r="D250">
        <v>0</v>
      </c>
      <c r="E250">
        <v>1</v>
      </c>
      <c r="F250">
        <v>20</v>
      </c>
      <c r="G250" t="b">
        <v>0</v>
      </c>
      <c r="H250">
        <v>4</v>
      </c>
      <c r="I250">
        <v>1</v>
      </c>
      <c r="J250">
        <v>0.18</v>
      </c>
      <c r="K250">
        <v>0.21210000000000001</v>
      </c>
      <c r="L250">
        <v>0.74</v>
      </c>
      <c r="M250">
        <v>8.9599999999999999E-2</v>
      </c>
      <c r="N250">
        <v>4</v>
      </c>
      <c r="O250">
        <v>55</v>
      </c>
      <c r="P250">
        <v>59</v>
      </c>
    </row>
    <row r="251" spans="1:16" x14ac:dyDescent="0.3">
      <c r="A251">
        <v>512</v>
      </c>
      <c r="B251" s="1">
        <v>40566</v>
      </c>
      <c r="C251">
        <v>1</v>
      </c>
      <c r="D251">
        <v>0</v>
      </c>
      <c r="E251">
        <v>1</v>
      </c>
      <c r="F251">
        <v>10</v>
      </c>
      <c r="G251" t="b">
        <v>0</v>
      </c>
      <c r="H251">
        <v>0</v>
      </c>
      <c r="I251">
        <v>1</v>
      </c>
      <c r="J251">
        <v>0.14000000000000001</v>
      </c>
      <c r="K251">
        <v>0.1061</v>
      </c>
      <c r="L251">
        <v>0.46</v>
      </c>
      <c r="M251">
        <v>0.3881</v>
      </c>
      <c r="N251">
        <v>7</v>
      </c>
      <c r="O251">
        <v>51</v>
      </c>
      <c r="P251">
        <v>58</v>
      </c>
    </row>
    <row r="252" spans="1:16" x14ac:dyDescent="0.3">
      <c r="A252">
        <v>579</v>
      </c>
      <c r="B252" s="1">
        <v>40569</v>
      </c>
      <c r="C252">
        <v>1</v>
      </c>
      <c r="D252">
        <v>0</v>
      </c>
      <c r="E252">
        <v>1</v>
      </c>
      <c r="F252">
        <v>9</v>
      </c>
      <c r="G252" t="b">
        <v>0</v>
      </c>
      <c r="H252">
        <v>3</v>
      </c>
      <c r="I252">
        <v>3</v>
      </c>
      <c r="J252">
        <v>0.22</v>
      </c>
      <c r="K252">
        <v>0.21210000000000001</v>
      </c>
      <c r="L252">
        <v>0.87</v>
      </c>
      <c r="M252">
        <v>0.29849999999999999</v>
      </c>
      <c r="N252">
        <v>3</v>
      </c>
      <c r="O252">
        <v>55</v>
      </c>
      <c r="P252">
        <v>58</v>
      </c>
    </row>
    <row r="253" spans="1:16" x14ac:dyDescent="0.3">
      <c r="A253">
        <v>80</v>
      </c>
      <c r="B253" s="1">
        <v>40547</v>
      </c>
      <c r="C253">
        <v>1</v>
      </c>
      <c r="D253">
        <v>0</v>
      </c>
      <c r="E253">
        <v>1</v>
      </c>
      <c r="F253">
        <v>11</v>
      </c>
      <c r="G253" t="b">
        <v>0</v>
      </c>
      <c r="H253">
        <v>2</v>
      </c>
      <c r="I253">
        <v>1</v>
      </c>
      <c r="J253">
        <v>0.22</v>
      </c>
      <c r="K253">
        <v>0.21210000000000001</v>
      </c>
      <c r="L253">
        <v>0.51</v>
      </c>
      <c r="M253">
        <v>0.29849999999999999</v>
      </c>
      <c r="N253">
        <v>7</v>
      </c>
      <c r="O253">
        <v>50</v>
      </c>
      <c r="P253">
        <v>57</v>
      </c>
    </row>
    <row r="254" spans="1:16" x14ac:dyDescent="0.3">
      <c r="A254">
        <v>102</v>
      </c>
      <c r="B254" s="1">
        <v>40548</v>
      </c>
      <c r="C254">
        <v>1</v>
      </c>
      <c r="D254">
        <v>0</v>
      </c>
      <c r="E254">
        <v>1</v>
      </c>
      <c r="F254">
        <v>10</v>
      </c>
      <c r="G254" t="b">
        <v>0</v>
      </c>
      <c r="H254">
        <v>3</v>
      </c>
      <c r="I254">
        <v>1</v>
      </c>
      <c r="J254">
        <v>0.22</v>
      </c>
      <c r="K254">
        <v>0.19700000000000001</v>
      </c>
      <c r="L254">
        <v>0.37</v>
      </c>
      <c r="M254">
        <v>0.32840000000000003</v>
      </c>
      <c r="N254">
        <v>4</v>
      </c>
      <c r="O254">
        <v>53</v>
      </c>
      <c r="P254">
        <v>57</v>
      </c>
    </row>
    <row r="255" spans="1:16" x14ac:dyDescent="0.3">
      <c r="A255">
        <v>244</v>
      </c>
      <c r="B255" s="1">
        <v>40554</v>
      </c>
      <c r="C255">
        <v>1</v>
      </c>
      <c r="D255">
        <v>0</v>
      </c>
      <c r="E255">
        <v>1</v>
      </c>
      <c r="F255">
        <v>12</v>
      </c>
      <c r="G255" t="b">
        <v>0</v>
      </c>
      <c r="H255">
        <v>2</v>
      </c>
      <c r="I255">
        <v>2</v>
      </c>
      <c r="J255">
        <v>0.2</v>
      </c>
      <c r="K255">
        <v>0.2273</v>
      </c>
      <c r="L255">
        <v>0.51</v>
      </c>
      <c r="M255">
        <v>0.1045</v>
      </c>
      <c r="N255">
        <v>2</v>
      </c>
      <c r="O255">
        <v>55</v>
      </c>
      <c r="P255">
        <v>57</v>
      </c>
    </row>
    <row r="256" spans="1:16" x14ac:dyDescent="0.3">
      <c r="A256">
        <v>275</v>
      </c>
      <c r="B256" s="1">
        <v>40555</v>
      </c>
      <c r="C256">
        <v>1</v>
      </c>
      <c r="D256">
        <v>0</v>
      </c>
      <c r="E256">
        <v>1</v>
      </c>
      <c r="F256">
        <v>21</v>
      </c>
      <c r="G256" t="b">
        <v>0</v>
      </c>
      <c r="H256">
        <v>3</v>
      </c>
      <c r="I256">
        <v>1</v>
      </c>
      <c r="J256">
        <v>0.16</v>
      </c>
      <c r="K256">
        <v>0.13639999999999999</v>
      </c>
      <c r="L256">
        <v>0.55000000000000004</v>
      </c>
      <c r="M256">
        <v>0.32840000000000003</v>
      </c>
      <c r="N256">
        <v>0</v>
      </c>
      <c r="O256">
        <v>57</v>
      </c>
      <c r="P256">
        <v>57</v>
      </c>
    </row>
    <row r="257" spans="1:16" x14ac:dyDescent="0.3">
      <c r="A257">
        <v>346</v>
      </c>
      <c r="B257" s="1">
        <v>40558</v>
      </c>
      <c r="C257">
        <v>1</v>
      </c>
      <c r="D257">
        <v>0</v>
      </c>
      <c r="E257">
        <v>1</v>
      </c>
      <c r="F257">
        <v>21</v>
      </c>
      <c r="G257" t="b">
        <v>0</v>
      </c>
      <c r="H257">
        <v>6</v>
      </c>
      <c r="I257">
        <v>2</v>
      </c>
      <c r="J257">
        <v>0.32</v>
      </c>
      <c r="K257">
        <v>0.30299999999999999</v>
      </c>
      <c r="L257">
        <v>0.39</v>
      </c>
      <c r="M257">
        <v>0.22389999999999999</v>
      </c>
      <c r="N257">
        <v>6</v>
      </c>
      <c r="O257">
        <v>51</v>
      </c>
      <c r="P257">
        <v>57</v>
      </c>
    </row>
    <row r="258" spans="1:16" x14ac:dyDescent="0.3">
      <c r="A258">
        <v>369</v>
      </c>
      <c r="B258" s="1">
        <v>40559</v>
      </c>
      <c r="C258">
        <v>1</v>
      </c>
      <c r="D258">
        <v>0</v>
      </c>
      <c r="E258">
        <v>1</v>
      </c>
      <c r="F258">
        <v>20</v>
      </c>
      <c r="G258" t="b">
        <v>0</v>
      </c>
      <c r="H258">
        <v>0</v>
      </c>
      <c r="I258">
        <v>1</v>
      </c>
      <c r="J258">
        <v>0.18</v>
      </c>
      <c r="K258">
        <v>0.19700000000000001</v>
      </c>
      <c r="L258">
        <v>0.47</v>
      </c>
      <c r="M258">
        <v>0.16420000000000001</v>
      </c>
      <c r="N258">
        <v>7</v>
      </c>
      <c r="O258">
        <v>50</v>
      </c>
      <c r="P258">
        <v>57</v>
      </c>
    </row>
    <row r="259" spans="1:16" x14ac:dyDescent="0.3">
      <c r="A259">
        <v>383</v>
      </c>
      <c r="B259" s="1">
        <v>40560</v>
      </c>
      <c r="C259">
        <v>1</v>
      </c>
      <c r="D259">
        <v>0</v>
      </c>
      <c r="E259">
        <v>1</v>
      </c>
      <c r="F259">
        <v>10</v>
      </c>
      <c r="G259" t="b">
        <v>1</v>
      </c>
      <c r="H259">
        <v>1</v>
      </c>
      <c r="I259">
        <v>2</v>
      </c>
      <c r="J259">
        <v>0.16</v>
      </c>
      <c r="K259">
        <v>0.1515</v>
      </c>
      <c r="L259">
        <v>0.5</v>
      </c>
      <c r="M259">
        <v>0.25369999999999998</v>
      </c>
      <c r="N259">
        <v>7</v>
      </c>
      <c r="O259">
        <v>50</v>
      </c>
      <c r="P259">
        <v>57</v>
      </c>
    </row>
    <row r="260" spans="1:16" x14ac:dyDescent="0.3">
      <c r="A260">
        <v>442</v>
      </c>
      <c r="B260" s="1">
        <v>40563</v>
      </c>
      <c r="C260">
        <v>1</v>
      </c>
      <c r="D260">
        <v>0</v>
      </c>
      <c r="E260">
        <v>1</v>
      </c>
      <c r="F260">
        <v>10</v>
      </c>
      <c r="G260" t="b">
        <v>0</v>
      </c>
      <c r="H260">
        <v>4</v>
      </c>
      <c r="I260">
        <v>1</v>
      </c>
      <c r="J260">
        <v>0.26</v>
      </c>
      <c r="K260">
        <v>0.2273</v>
      </c>
      <c r="L260">
        <v>0.48</v>
      </c>
      <c r="M260">
        <v>0.29849999999999999</v>
      </c>
      <c r="N260">
        <v>1</v>
      </c>
      <c r="O260">
        <v>56</v>
      </c>
      <c r="P260">
        <v>57</v>
      </c>
    </row>
    <row r="261" spans="1:16" x14ac:dyDescent="0.3">
      <c r="A261">
        <v>453</v>
      </c>
      <c r="B261" s="1">
        <v>40563</v>
      </c>
      <c r="C261">
        <v>1</v>
      </c>
      <c r="D261">
        <v>0</v>
      </c>
      <c r="E261">
        <v>1</v>
      </c>
      <c r="F261">
        <v>21</v>
      </c>
      <c r="G261" t="b">
        <v>0</v>
      </c>
      <c r="H261">
        <v>4</v>
      </c>
      <c r="I261">
        <v>2</v>
      </c>
      <c r="J261">
        <v>0.24</v>
      </c>
      <c r="K261">
        <v>0.2273</v>
      </c>
      <c r="L261">
        <v>0.6</v>
      </c>
      <c r="M261">
        <v>0.25369999999999998</v>
      </c>
      <c r="N261">
        <v>3</v>
      </c>
      <c r="O261">
        <v>54</v>
      </c>
      <c r="P261">
        <v>57</v>
      </c>
    </row>
    <row r="262" spans="1:16" x14ac:dyDescent="0.3">
      <c r="A262">
        <v>540</v>
      </c>
      <c r="B262" s="1">
        <v>40567</v>
      </c>
      <c r="C262">
        <v>1</v>
      </c>
      <c r="D262">
        <v>0</v>
      </c>
      <c r="E262">
        <v>1</v>
      </c>
      <c r="F262">
        <v>15</v>
      </c>
      <c r="G262" t="b">
        <v>0</v>
      </c>
      <c r="H262">
        <v>1</v>
      </c>
      <c r="I262">
        <v>1</v>
      </c>
      <c r="J262">
        <v>0.16</v>
      </c>
      <c r="K262">
        <v>0.16669999999999999</v>
      </c>
      <c r="L262">
        <v>0.4</v>
      </c>
      <c r="M262">
        <v>0.16420000000000001</v>
      </c>
      <c r="N262">
        <v>7</v>
      </c>
      <c r="O262">
        <v>50</v>
      </c>
      <c r="P262">
        <v>57</v>
      </c>
    </row>
    <row r="263" spans="1:16" x14ac:dyDescent="0.3">
      <c r="A263">
        <v>12</v>
      </c>
      <c r="B263" s="1">
        <v>40544</v>
      </c>
      <c r="C263">
        <v>1</v>
      </c>
      <c r="D263">
        <v>0</v>
      </c>
      <c r="E263">
        <v>1</v>
      </c>
      <c r="F263">
        <v>11</v>
      </c>
      <c r="G263" t="b">
        <v>0</v>
      </c>
      <c r="H263">
        <v>6</v>
      </c>
      <c r="I263">
        <v>1</v>
      </c>
      <c r="J263">
        <v>0.36</v>
      </c>
      <c r="K263">
        <v>0.33329999999999999</v>
      </c>
      <c r="L263">
        <v>0.81</v>
      </c>
      <c r="M263">
        <v>0.28360000000000002</v>
      </c>
      <c r="N263">
        <v>26</v>
      </c>
      <c r="O263">
        <v>30</v>
      </c>
      <c r="P263">
        <v>56</v>
      </c>
    </row>
    <row r="264" spans="1:16" x14ac:dyDescent="0.3">
      <c r="A264">
        <v>274</v>
      </c>
      <c r="B264" s="1">
        <v>40555</v>
      </c>
      <c r="C264">
        <v>1</v>
      </c>
      <c r="D264">
        <v>0</v>
      </c>
      <c r="E264">
        <v>1</v>
      </c>
      <c r="F264">
        <v>20</v>
      </c>
      <c r="G264" t="b">
        <v>0</v>
      </c>
      <c r="H264">
        <v>3</v>
      </c>
      <c r="I264">
        <v>1</v>
      </c>
      <c r="J264">
        <v>0.16</v>
      </c>
      <c r="K264">
        <v>0.13639999999999999</v>
      </c>
      <c r="L264">
        <v>0.5</v>
      </c>
      <c r="M264">
        <v>0.32840000000000003</v>
      </c>
      <c r="N264">
        <v>2</v>
      </c>
      <c r="O264">
        <v>54</v>
      </c>
      <c r="P264">
        <v>56</v>
      </c>
    </row>
    <row r="265" spans="1:16" x14ac:dyDescent="0.3">
      <c r="A265">
        <v>454</v>
      </c>
      <c r="B265" s="1">
        <v>40563</v>
      </c>
      <c r="C265">
        <v>1</v>
      </c>
      <c r="D265">
        <v>0</v>
      </c>
      <c r="E265">
        <v>1</v>
      </c>
      <c r="F265">
        <v>22</v>
      </c>
      <c r="G265" t="b">
        <v>0</v>
      </c>
      <c r="H265">
        <v>4</v>
      </c>
      <c r="I265">
        <v>2</v>
      </c>
      <c r="J265">
        <v>0.24</v>
      </c>
      <c r="K265">
        <v>0.21210000000000001</v>
      </c>
      <c r="L265">
        <v>0.65</v>
      </c>
      <c r="M265">
        <v>0.28360000000000002</v>
      </c>
      <c r="N265">
        <v>0</v>
      </c>
      <c r="O265">
        <v>56</v>
      </c>
      <c r="P265">
        <v>56</v>
      </c>
    </row>
    <row r="266" spans="1:16" x14ac:dyDescent="0.3">
      <c r="A266">
        <v>180</v>
      </c>
      <c r="B266" s="1">
        <v>40551</v>
      </c>
      <c r="C266">
        <v>1</v>
      </c>
      <c r="D266">
        <v>0</v>
      </c>
      <c r="E266">
        <v>1</v>
      </c>
      <c r="F266">
        <v>18</v>
      </c>
      <c r="G266" t="b">
        <v>0</v>
      </c>
      <c r="H266">
        <v>6</v>
      </c>
      <c r="I266">
        <v>1</v>
      </c>
      <c r="J266">
        <v>0.14000000000000001</v>
      </c>
      <c r="K266">
        <v>0.1212</v>
      </c>
      <c r="L266">
        <v>0.39</v>
      </c>
      <c r="M266">
        <v>0.29849999999999999</v>
      </c>
      <c r="N266">
        <v>3</v>
      </c>
      <c r="O266">
        <v>52</v>
      </c>
      <c r="P266">
        <v>55</v>
      </c>
    </row>
    <row r="267" spans="1:16" x14ac:dyDescent="0.3">
      <c r="A267">
        <v>266</v>
      </c>
      <c r="B267" s="1">
        <v>40555</v>
      </c>
      <c r="C267">
        <v>1</v>
      </c>
      <c r="D267">
        <v>0</v>
      </c>
      <c r="E267">
        <v>1</v>
      </c>
      <c r="F267">
        <v>12</v>
      </c>
      <c r="G267" t="b">
        <v>0</v>
      </c>
      <c r="H267">
        <v>3</v>
      </c>
      <c r="I267">
        <v>1</v>
      </c>
      <c r="J267">
        <v>0.2</v>
      </c>
      <c r="K267">
        <v>0.1515</v>
      </c>
      <c r="L267">
        <v>0.47</v>
      </c>
      <c r="M267">
        <v>0.58209999999999995</v>
      </c>
      <c r="N267">
        <v>3</v>
      </c>
      <c r="O267">
        <v>52</v>
      </c>
      <c r="P267">
        <v>55</v>
      </c>
    </row>
    <row r="268" spans="1:16" x14ac:dyDescent="0.3">
      <c r="A268">
        <v>519</v>
      </c>
      <c r="B268" s="1">
        <v>40566</v>
      </c>
      <c r="C268">
        <v>1</v>
      </c>
      <c r="D268">
        <v>0</v>
      </c>
      <c r="E268">
        <v>1</v>
      </c>
      <c r="F268">
        <v>17</v>
      </c>
      <c r="G268" t="b">
        <v>0</v>
      </c>
      <c r="H268">
        <v>0</v>
      </c>
      <c r="I268">
        <v>1</v>
      </c>
      <c r="J268">
        <v>0.14000000000000001</v>
      </c>
      <c r="K268">
        <v>0.1061</v>
      </c>
      <c r="L268">
        <v>0.26</v>
      </c>
      <c r="M268">
        <v>0.3881</v>
      </c>
      <c r="N268">
        <v>5</v>
      </c>
      <c r="O268">
        <v>50</v>
      </c>
      <c r="P268">
        <v>55</v>
      </c>
    </row>
    <row r="269" spans="1:16" x14ac:dyDescent="0.3">
      <c r="A269">
        <v>558</v>
      </c>
      <c r="B269" s="1">
        <v>40568</v>
      </c>
      <c r="C269">
        <v>1</v>
      </c>
      <c r="D269">
        <v>0</v>
      </c>
      <c r="E269">
        <v>1</v>
      </c>
      <c r="F269">
        <v>10</v>
      </c>
      <c r="G269" t="b">
        <v>0</v>
      </c>
      <c r="H269">
        <v>2</v>
      </c>
      <c r="I269">
        <v>2</v>
      </c>
      <c r="J269">
        <v>0.22</v>
      </c>
      <c r="K269">
        <v>0.2424</v>
      </c>
      <c r="L269">
        <v>0.6</v>
      </c>
      <c r="M269">
        <v>0.1045</v>
      </c>
      <c r="N269">
        <v>6</v>
      </c>
      <c r="O269">
        <v>49</v>
      </c>
      <c r="P269">
        <v>55</v>
      </c>
    </row>
    <row r="270" spans="1:16" x14ac:dyDescent="0.3">
      <c r="A270">
        <v>89</v>
      </c>
      <c r="B270" s="1">
        <v>40547</v>
      </c>
      <c r="C270">
        <v>1</v>
      </c>
      <c r="D270">
        <v>0</v>
      </c>
      <c r="E270">
        <v>1</v>
      </c>
      <c r="F270">
        <v>20</v>
      </c>
      <c r="G270" t="b">
        <v>0</v>
      </c>
      <c r="H270">
        <v>2</v>
      </c>
      <c r="I270">
        <v>1</v>
      </c>
      <c r="J270">
        <v>0.24</v>
      </c>
      <c r="K270">
        <v>0.2576</v>
      </c>
      <c r="L270">
        <v>0.48</v>
      </c>
      <c r="M270">
        <v>0.1045</v>
      </c>
      <c r="N270">
        <v>1</v>
      </c>
      <c r="O270">
        <v>53</v>
      </c>
      <c r="P270">
        <v>54</v>
      </c>
    </row>
    <row r="271" spans="1:16" x14ac:dyDescent="0.3">
      <c r="A271">
        <v>223</v>
      </c>
      <c r="B271" s="1">
        <v>40553</v>
      </c>
      <c r="C271">
        <v>1</v>
      </c>
      <c r="D271">
        <v>0</v>
      </c>
      <c r="E271">
        <v>1</v>
      </c>
      <c r="F271">
        <v>13</v>
      </c>
      <c r="G271" t="b">
        <v>0</v>
      </c>
      <c r="H271">
        <v>1</v>
      </c>
      <c r="I271">
        <v>2</v>
      </c>
      <c r="J271">
        <v>0.2</v>
      </c>
      <c r="K271">
        <v>0.18179999999999999</v>
      </c>
      <c r="L271">
        <v>0.4</v>
      </c>
      <c r="M271">
        <v>0.28360000000000002</v>
      </c>
      <c r="N271">
        <v>4</v>
      </c>
      <c r="O271">
        <v>50</v>
      </c>
      <c r="P271">
        <v>54</v>
      </c>
    </row>
    <row r="272" spans="1:16" x14ac:dyDescent="0.3">
      <c r="A272">
        <v>242</v>
      </c>
      <c r="B272" s="1">
        <v>40554</v>
      </c>
      <c r="C272">
        <v>1</v>
      </c>
      <c r="D272">
        <v>0</v>
      </c>
      <c r="E272">
        <v>1</v>
      </c>
      <c r="F272">
        <v>10</v>
      </c>
      <c r="G272" t="b">
        <v>0</v>
      </c>
      <c r="H272">
        <v>2</v>
      </c>
      <c r="I272">
        <v>2</v>
      </c>
      <c r="J272">
        <v>0.2</v>
      </c>
      <c r="K272">
        <v>0.21210000000000001</v>
      </c>
      <c r="L272">
        <v>0.51</v>
      </c>
      <c r="M272">
        <v>0.16420000000000001</v>
      </c>
      <c r="N272">
        <v>3</v>
      </c>
      <c r="O272">
        <v>51</v>
      </c>
      <c r="P272">
        <v>54</v>
      </c>
    </row>
    <row r="273" spans="1:16" x14ac:dyDescent="0.3">
      <c r="A273">
        <v>261</v>
      </c>
      <c r="B273" s="1">
        <v>40555</v>
      </c>
      <c r="C273">
        <v>1</v>
      </c>
      <c r="D273">
        <v>0</v>
      </c>
      <c r="E273">
        <v>1</v>
      </c>
      <c r="F273">
        <v>7</v>
      </c>
      <c r="G273" t="b">
        <v>0</v>
      </c>
      <c r="H273">
        <v>3</v>
      </c>
      <c r="I273">
        <v>1</v>
      </c>
      <c r="J273">
        <v>0.14000000000000001</v>
      </c>
      <c r="K273">
        <v>0.1515</v>
      </c>
      <c r="L273">
        <v>0.69</v>
      </c>
      <c r="M273">
        <v>0.1343</v>
      </c>
      <c r="N273">
        <v>0</v>
      </c>
      <c r="O273">
        <v>54</v>
      </c>
      <c r="P273">
        <v>54</v>
      </c>
    </row>
    <row r="274" spans="1:16" x14ac:dyDescent="0.3">
      <c r="A274">
        <v>497</v>
      </c>
      <c r="B274" s="1">
        <v>40565</v>
      </c>
      <c r="C274">
        <v>1</v>
      </c>
      <c r="D274">
        <v>0</v>
      </c>
      <c r="E274">
        <v>1</v>
      </c>
      <c r="F274">
        <v>18</v>
      </c>
      <c r="G274" t="b">
        <v>0</v>
      </c>
      <c r="H274">
        <v>6</v>
      </c>
      <c r="I274">
        <v>1</v>
      </c>
      <c r="J274">
        <v>0.08</v>
      </c>
      <c r="K274">
        <v>9.0899999999999995E-2</v>
      </c>
      <c r="L274">
        <v>0.35</v>
      </c>
      <c r="M274">
        <v>0.19400000000000001</v>
      </c>
      <c r="N274">
        <v>0</v>
      </c>
      <c r="O274">
        <v>54</v>
      </c>
      <c r="P274">
        <v>54</v>
      </c>
    </row>
    <row r="275" spans="1:16" x14ac:dyDescent="0.3">
      <c r="A275">
        <v>34</v>
      </c>
      <c r="B275" s="1">
        <v>40545</v>
      </c>
      <c r="C275">
        <v>1</v>
      </c>
      <c r="D275">
        <v>0</v>
      </c>
      <c r="E275">
        <v>1</v>
      </c>
      <c r="F275">
        <v>10</v>
      </c>
      <c r="G275" t="b">
        <v>0</v>
      </c>
      <c r="H275">
        <v>0</v>
      </c>
      <c r="I275">
        <v>2</v>
      </c>
      <c r="J275">
        <v>0.36</v>
      </c>
      <c r="K275">
        <v>0.34849999999999998</v>
      </c>
      <c r="L275">
        <v>0.81</v>
      </c>
      <c r="M275">
        <v>0.22389999999999999</v>
      </c>
      <c r="N275">
        <v>7</v>
      </c>
      <c r="O275">
        <v>46</v>
      </c>
      <c r="P275">
        <v>53</v>
      </c>
    </row>
    <row r="276" spans="1:16" x14ac:dyDescent="0.3">
      <c r="A276">
        <v>42</v>
      </c>
      <c r="B276" s="1">
        <v>40545</v>
      </c>
      <c r="C276">
        <v>1</v>
      </c>
      <c r="D276">
        <v>0</v>
      </c>
      <c r="E276">
        <v>1</v>
      </c>
      <c r="F276">
        <v>18</v>
      </c>
      <c r="G276" t="b">
        <v>0</v>
      </c>
      <c r="H276">
        <v>0</v>
      </c>
      <c r="I276">
        <v>2</v>
      </c>
      <c r="J276">
        <v>0.36</v>
      </c>
      <c r="K276">
        <v>0.33329999999999999</v>
      </c>
      <c r="L276">
        <v>0.46</v>
      </c>
      <c r="M276">
        <v>0.32840000000000003</v>
      </c>
      <c r="N276">
        <v>10</v>
      </c>
      <c r="O276">
        <v>43</v>
      </c>
      <c r="P276">
        <v>53</v>
      </c>
    </row>
    <row r="277" spans="1:16" x14ac:dyDescent="0.3">
      <c r="A277">
        <v>312</v>
      </c>
      <c r="B277" s="1">
        <v>40557</v>
      </c>
      <c r="C277">
        <v>1</v>
      </c>
      <c r="D277">
        <v>0</v>
      </c>
      <c r="E277">
        <v>1</v>
      </c>
      <c r="F277">
        <v>11</v>
      </c>
      <c r="G277" t="b">
        <v>0</v>
      </c>
      <c r="H277">
        <v>5</v>
      </c>
      <c r="I277">
        <v>1</v>
      </c>
      <c r="J277">
        <v>0.18</v>
      </c>
      <c r="K277">
        <v>0.16669999999999999</v>
      </c>
      <c r="L277">
        <v>0.51</v>
      </c>
      <c r="M277">
        <v>0.28360000000000002</v>
      </c>
      <c r="N277">
        <v>6</v>
      </c>
      <c r="O277">
        <v>47</v>
      </c>
      <c r="P277">
        <v>53</v>
      </c>
    </row>
    <row r="278" spans="1:16" x14ac:dyDescent="0.3">
      <c r="A278">
        <v>476</v>
      </c>
      <c r="B278" s="1">
        <v>40564</v>
      </c>
      <c r="C278">
        <v>1</v>
      </c>
      <c r="D278">
        <v>0</v>
      </c>
      <c r="E278">
        <v>1</v>
      </c>
      <c r="F278">
        <v>20</v>
      </c>
      <c r="G278" t="b">
        <v>0</v>
      </c>
      <c r="H278">
        <v>5</v>
      </c>
      <c r="I278">
        <v>1</v>
      </c>
      <c r="J278">
        <v>0.1</v>
      </c>
      <c r="K278">
        <v>7.5800000000000006E-2</v>
      </c>
      <c r="L278">
        <v>0.33</v>
      </c>
      <c r="M278">
        <v>0.41789999999999999</v>
      </c>
      <c r="N278">
        <v>1</v>
      </c>
      <c r="O278">
        <v>52</v>
      </c>
      <c r="P278">
        <v>53</v>
      </c>
    </row>
    <row r="279" spans="1:16" x14ac:dyDescent="0.3">
      <c r="A279">
        <v>489</v>
      </c>
      <c r="B279" s="1">
        <v>40565</v>
      </c>
      <c r="C279">
        <v>1</v>
      </c>
      <c r="D279">
        <v>0</v>
      </c>
      <c r="E279">
        <v>1</v>
      </c>
      <c r="F279">
        <v>10</v>
      </c>
      <c r="G279" t="b">
        <v>0</v>
      </c>
      <c r="H279">
        <v>6</v>
      </c>
      <c r="I279">
        <v>2</v>
      </c>
      <c r="J279">
        <v>0.04</v>
      </c>
      <c r="K279">
        <v>6.0600000000000001E-2</v>
      </c>
      <c r="L279">
        <v>0.41</v>
      </c>
      <c r="M279">
        <v>0.16420000000000001</v>
      </c>
      <c r="N279">
        <v>3</v>
      </c>
      <c r="O279">
        <v>50</v>
      </c>
      <c r="P279">
        <v>53</v>
      </c>
    </row>
    <row r="280" spans="1:16" x14ac:dyDescent="0.3">
      <c r="A280">
        <v>570</v>
      </c>
      <c r="B280" s="1">
        <v>40568</v>
      </c>
      <c r="C280">
        <v>1</v>
      </c>
      <c r="D280">
        <v>0</v>
      </c>
      <c r="E280">
        <v>1</v>
      </c>
      <c r="F280">
        <v>22</v>
      </c>
      <c r="G280" t="b">
        <v>0</v>
      </c>
      <c r="H280">
        <v>2</v>
      </c>
      <c r="I280">
        <v>1</v>
      </c>
      <c r="J280">
        <v>0.22</v>
      </c>
      <c r="K280">
        <v>0.2273</v>
      </c>
      <c r="L280">
        <v>0.64</v>
      </c>
      <c r="M280">
        <v>0.16420000000000001</v>
      </c>
      <c r="N280">
        <v>4</v>
      </c>
      <c r="O280">
        <v>49</v>
      </c>
      <c r="P280">
        <v>53</v>
      </c>
    </row>
    <row r="281" spans="1:16" x14ac:dyDescent="0.3">
      <c r="A281">
        <v>66</v>
      </c>
      <c r="B281" s="1">
        <v>40546</v>
      </c>
      <c r="C281">
        <v>1</v>
      </c>
      <c r="D281">
        <v>0</v>
      </c>
      <c r="E281">
        <v>1</v>
      </c>
      <c r="F281">
        <v>20</v>
      </c>
      <c r="G281" t="b">
        <v>0</v>
      </c>
      <c r="H281">
        <v>1</v>
      </c>
      <c r="I281">
        <v>1</v>
      </c>
      <c r="J281">
        <v>0.2</v>
      </c>
      <c r="L281">
        <v>0.47</v>
      </c>
      <c r="M281">
        <v>0.1045</v>
      </c>
      <c r="N281">
        <v>3</v>
      </c>
      <c r="O281">
        <v>49</v>
      </c>
      <c r="P281">
        <v>52</v>
      </c>
    </row>
    <row r="282" spans="1:16" x14ac:dyDescent="0.3">
      <c r="A282">
        <v>67</v>
      </c>
      <c r="B282" s="1">
        <v>40546</v>
      </c>
      <c r="C282">
        <v>1</v>
      </c>
      <c r="D282">
        <v>0</v>
      </c>
      <c r="E282">
        <v>1</v>
      </c>
      <c r="F282">
        <v>21</v>
      </c>
      <c r="G282" t="b">
        <v>0</v>
      </c>
      <c r="H282">
        <v>1</v>
      </c>
      <c r="I282">
        <v>1</v>
      </c>
      <c r="J282">
        <v>0.18</v>
      </c>
      <c r="K282">
        <v>0.19700000000000001</v>
      </c>
      <c r="L282">
        <v>0.64</v>
      </c>
      <c r="M282">
        <v>0.1343</v>
      </c>
      <c r="N282">
        <v>3</v>
      </c>
      <c r="O282">
        <v>49</v>
      </c>
      <c r="P282">
        <v>52</v>
      </c>
    </row>
    <row r="283" spans="1:16" x14ac:dyDescent="0.3">
      <c r="A283">
        <v>137</v>
      </c>
      <c r="B283" s="1">
        <v>40549</v>
      </c>
      <c r="C283">
        <v>1</v>
      </c>
      <c r="D283">
        <v>0</v>
      </c>
      <c r="E283">
        <v>1</v>
      </c>
      <c r="F283">
        <v>22</v>
      </c>
      <c r="G283" t="b">
        <v>0</v>
      </c>
      <c r="H283">
        <v>4</v>
      </c>
      <c r="I283">
        <v>2</v>
      </c>
      <c r="J283">
        <v>0.22</v>
      </c>
      <c r="K283">
        <v>0.21210000000000001</v>
      </c>
      <c r="L283">
        <v>0.51</v>
      </c>
      <c r="M283">
        <v>0.28360000000000002</v>
      </c>
      <c r="N283">
        <v>1</v>
      </c>
      <c r="O283">
        <v>51</v>
      </c>
      <c r="P283">
        <v>52</v>
      </c>
    </row>
    <row r="284" spans="1:16" x14ac:dyDescent="0.3">
      <c r="A284">
        <v>222</v>
      </c>
      <c r="B284" s="1">
        <v>40553</v>
      </c>
      <c r="C284">
        <v>1</v>
      </c>
      <c r="D284">
        <v>0</v>
      </c>
      <c r="E284">
        <v>1</v>
      </c>
      <c r="F284">
        <v>12</v>
      </c>
      <c r="G284" t="b">
        <v>0</v>
      </c>
      <c r="H284">
        <v>1</v>
      </c>
      <c r="I284">
        <v>2</v>
      </c>
      <c r="J284">
        <v>0.2</v>
      </c>
      <c r="K284">
        <v>0.18179999999999999</v>
      </c>
      <c r="L284">
        <v>0.4</v>
      </c>
      <c r="M284">
        <v>0.28360000000000002</v>
      </c>
      <c r="N284">
        <v>5</v>
      </c>
      <c r="O284">
        <v>47</v>
      </c>
      <c r="P284">
        <v>52</v>
      </c>
    </row>
    <row r="285" spans="1:16" x14ac:dyDescent="0.3">
      <c r="A285">
        <v>245</v>
      </c>
      <c r="B285" s="1">
        <v>40554</v>
      </c>
      <c r="C285">
        <v>1</v>
      </c>
      <c r="D285">
        <v>0</v>
      </c>
      <c r="E285">
        <v>1</v>
      </c>
      <c r="F285">
        <v>13</v>
      </c>
      <c r="G285" t="b">
        <v>0</v>
      </c>
      <c r="H285">
        <v>2</v>
      </c>
      <c r="I285">
        <v>2</v>
      </c>
      <c r="J285">
        <v>0.2</v>
      </c>
      <c r="K285">
        <v>0.2273</v>
      </c>
      <c r="L285">
        <v>0.59</v>
      </c>
      <c r="M285">
        <v>8.9599999999999999E-2</v>
      </c>
      <c r="N285">
        <v>6</v>
      </c>
      <c r="O285">
        <v>46</v>
      </c>
      <c r="P285">
        <v>52</v>
      </c>
    </row>
    <row r="286" spans="1:16" x14ac:dyDescent="0.3">
      <c r="A286">
        <v>290</v>
      </c>
      <c r="B286" s="1">
        <v>40556</v>
      </c>
      <c r="C286">
        <v>1</v>
      </c>
      <c r="D286">
        <v>0</v>
      </c>
      <c r="E286">
        <v>1</v>
      </c>
      <c r="F286">
        <v>12</v>
      </c>
      <c r="G286" t="b">
        <v>0</v>
      </c>
      <c r="H286">
        <v>4</v>
      </c>
      <c r="I286">
        <v>1</v>
      </c>
      <c r="J286">
        <v>0.2</v>
      </c>
      <c r="K286">
        <v>0.16669999999999999</v>
      </c>
      <c r="L286">
        <v>0.44</v>
      </c>
      <c r="M286">
        <v>0.41789999999999999</v>
      </c>
      <c r="N286">
        <v>3</v>
      </c>
      <c r="O286">
        <v>49</v>
      </c>
      <c r="P286">
        <v>52</v>
      </c>
    </row>
    <row r="287" spans="1:16" x14ac:dyDescent="0.3">
      <c r="A287">
        <v>322</v>
      </c>
      <c r="B287" s="1">
        <v>40557</v>
      </c>
      <c r="C287">
        <v>1</v>
      </c>
      <c r="D287">
        <v>0</v>
      </c>
      <c r="E287">
        <v>1</v>
      </c>
      <c r="F287">
        <v>21</v>
      </c>
      <c r="G287" t="b">
        <v>0</v>
      </c>
      <c r="H287">
        <v>5</v>
      </c>
      <c r="I287">
        <v>1</v>
      </c>
      <c r="J287">
        <v>0.16</v>
      </c>
      <c r="K287">
        <v>0.2273</v>
      </c>
      <c r="L287">
        <v>0.69</v>
      </c>
      <c r="M287">
        <v>0</v>
      </c>
      <c r="N287">
        <v>4</v>
      </c>
      <c r="O287">
        <v>48</v>
      </c>
      <c r="P287">
        <v>52</v>
      </c>
    </row>
    <row r="288" spans="1:16" x14ac:dyDescent="0.3">
      <c r="A288">
        <v>419</v>
      </c>
      <c r="B288" s="1">
        <v>40562</v>
      </c>
      <c r="C288">
        <v>1</v>
      </c>
      <c r="D288">
        <v>0</v>
      </c>
      <c r="E288">
        <v>1</v>
      </c>
      <c r="F288">
        <v>11</v>
      </c>
      <c r="G288" t="b">
        <v>0</v>
      </c>
      <c r="H288">
        <v>3</v>
      </c>
      <c r="I288">
        <v>2</v>
      </c>
      <c r="J288">
        <v>0.28000000000000003</v>
      </c>
      <c r="K288">
        <v>0.30299999999999999</v>
      </c>
      <c r="L288">
        <v>0.87</v>
      </c>
      <c r="M288">
        <v>8.9599999999999999E-2</v>
      </c>
      <c r="N288">
        <v>5</v>
      </c>
      <c r="O288">
        <v>47</v>
      </c>
      <c r="P288">
        <v>52</v>
      </c>
    </row>
    <row r="289" spans="1:16" x14ac:dyDescent="0.3">
      <c r="A289">
        <v>57</v>
      </c>
      <c r="B289" s="1">
        <v>40546</v>
      </c>
      <c r="C289">
        <v>1</v>
      </c>
      <c r="D289">
        <v>0</v>
      </c>
      <c r="E289">
        <v>1</v>
      </c>
      <c r="F289">
        <v>11</v>
      </c>
      <c r="G289" t="b">
        <v>0</v>
      </c>
      <c r="H289">
        <v>1</v>
      </c>
      <c r="I289">
        <v>1</v>
      </c>
      <c r="J289">
        <v>0.2</v>
      </c>
      <c r="K289">
        <v>0.18179999999999999</v>
      </c>
      <c r="L289">
        <v>0.4</v>
      </c>
      <c r="M289">
        <v>0.32840000000000003</v>
      </c>
      <c r="N289">
        <v>10</v>
      </c>
      <c r="O289">
        <v>41</v>
      </c>
      <c r="P289">
        <v>51</v>
      </c>
    </row>
    <row r="290" spans="1:16" x14ac:dyDescent="0.3">
      <c r="A290">
        <v>158</v>
      </c>
      <c r="B290" s="1">
        <v>40550</v>
      </c>
      <c r="C290">
        <v>1</v>
      </c>
      <c r="D290">
        <v>0</v>
      </c>
      <c r="E290">
        <v>1</v>
      </c>
      <c r="F290">
        <v>20</v>
      </c>
      <c r="G290" t="b">
        <v>0</v>
      </c>
      <c r="H290">
        <v>5</v>
      </c>
      <c r="I290">
        <v>1</v>
      </c>
      <c r="J290">
        <v>0.18</v>
      </c>
      <c r="K290">
        <v>0.21210000000000001</v>
      </c>
      <c r="L290">
        <v>0.47</v>
      </c>
      <c r="M290">
        <v>0.1045</v>
      </c>
      <c r="N290">
        <v>1</v>
      </c>
      <c r="O290">
        <v>50</v>
      </c>
      <c r="P290">
        <v>51</v>
      </c>
    </row>
    <row r="291" spans="1:16" x14ac:dyDescent="0.3">
      <c r="A291">
        <v>251</v>
      </c>
      <c r="B291" s="1">
        <v>40554</v>
      </c>
      <c r="C291">
        <v>1</v>
      </c>
      <c r="D291">
        <v>0</v>
      </c>
      <c r="E291">
        <v>1</v>
      </c>
      <c r="F291">
        <v>19</v>
      </c>
      <c r="G291" t="b">
        <v>0</v>
      </c>
      <c r="H291">
        <v>2</v>
      </c>
      <c r="I291">
        <v>3</v>
      </c>
      <c r="J291">
        <v>0.16</v>
      </c>
      <c r="K291">
        <v>0.2273</v>
      </c>
      <c r="L291">
        <v>0.93</v>
      </c>
      <c r="M291">
        <v>0</v>
      </c>
      <c r="N291">
        <v>0</v>
      </c>
      <c r="O291">
        <v>51</v>
      </c>
      <c r="P291">
        <v>51</v>
      </c>
    </row>
    <row r="292" spans="1:16" x14ac:dyDescent="0.3">
      <c r="A292">
        <v>152</v>
      </c>
      <c r="B292" s="1">
        <v>40550</v>
      </c>
      <c r="C292">
        <v>1</v>
      </c>
      <c r="D292">
        <v>0</v>
      </c>
      <c r="E292">
        <v>1</v>
      </c>
      <c r="F292">
        <v>14</v>
      </c>
      <c r="G292" t="b">
        <v>0</v>
      </c>
      <c r="H292">
        <v>5</v>
      </c>
      <c r="I292">
        <v>2</v>
      </c>
      <c r="J292">
        <v>0.2</v>
      </c>
      <c r="K292">
        <v>0.19700000000000001</v>
      </c>
      <c r="L292">
        <v>0.4</v>
      </c>
      <c r="M292">
        <v>0.25369999999999998</v>
      </c>
      <c r="N292">
        <v>7</v>
      </c>
      <c r="O292">
        <v>43</v>
      </c>
      <c r="P292">
        <v>50</v>
      </c>
    </row>
    <row r="293" spans="1:16" x14ac:dyDescent="0.3">
      <c r="A293">
        <v>521</v>
      </c>
      <c r="B293" s="1">
        <v>40566</v>
      </c>
      <c r="C293">
        <v>1</v>
      </c>
      <c r="D293">
        <v>0</v>
      </c>
      <c r="E293">
        <v>1</v>
      </c>
      <c r="F293">
        <v>19</v>
      </c>
      <c r="G293" t="b">
        <v>0</v>
      </c>
      <c r="H293">
        <v>0</v>
      </c>
      <c r="I293">
        <v>1</v>
      </c>
      <c r="J293">
        <v>0.12</v>
      </c>
      <c r="K293">
        <v>0.1212</v>
      </c>
      <c r="L293">
        <v>0.3</v>
      </c>
      <c r="M293">
        <v>0.28360000000000002</v>
      </c>
      <c r="N293">
        <v>5</v>
      </c>
      <c r="O293">
        <v>45</v>
      </c>
      <c r="P293">
        <v>50</v>
      </c>
    </row>
    <row r="294" spans="1:16" x14ac:dyDescent="0.3">
      <c r="A294">
        <v>196</v>
      </c>
      <c r="B294" s="1">
        <v>40552</v>
      </c>
      <c r="C294">
        <v>1</v>
      </c>
      <c r="D294">
        <v>0</v>
      </c>
      <c r="E294">
        <v>1</v>
      </c>
      <c r="F294">
        <v>10</v>
      </c>
      <c r="G294" t="b">
        <v>0</v>
      </c>
      <c r="H294">
        <v>0</v>
      </c>
      <c r="I294">
        <v>1</v>
      </c>
      <c r="J294">
        <v>0.14000000000000001</v>
      </c>
      <c r="K294">
        <v>0.1061</v>
      </c>
      <c r="L294">
        <v>0.43</v>
      </c>
      <c r="M294">
        <v>0.3881</v>
      </c>
      <c r="N294">
        <v>0</v>
      </c>
      <c r="O294">
        <v>49</v>
      </c>
      <c r="P294">
        <v>49</v>
      </c>
    </row>
    <row r="295" spans="1:16" x14ac:dyDescent="0.3">
      <c r="A295">
        <v>197</v>
      </c>
      <c r="B295" s="1">
        <v>40552</v>
      </c>
      <c r="C295">
        <v>1</v>
      </c>
      <c r="D295">
        <v>0</v>
      </c>
      <c r="E295">
        <v>1</v>
      </c>
      <c r="F295">
        <v>11</v>
      </c>
      <c r="G295" t="b">
        <v>0</v>
      </c>
      <c r="H295">
        <v>0</v>
      </c>
      <c r="I295">
        <v>1</v>
      </c>
      <c r="J295">
        <v>0.16</v>
      </c>
      <c r="K295">
        <v>0.1212</v>
      </c>
      <c r="L295">
        <v>0.4</v>
      </c>
      <c r="M295">
        <v>0.52239999999999998</v>
      </c>
      <c r="N295">
        <v>2</v>
      </c>
      <c r="O295">
        <v>47</v>
      </c>
      <c r="P295">
        <v>49</v>
      </c>
    </row>
    <row r="296" spans="1:16" x14ac:dyDescent="0.3">
      <c r="A296">
        <v>267</v>
      </c>
      <c r="B296" s="1">
        <v>40555</v>
      </c>
      <c r="C296">
        <v>1</v>
      </c>
      <c r="D296">
        <v>0</v>
      </c>
      <c r="E296">
        <v>1</v>
      </c>
      <c r="F296">
        <v>13</v>
      </c>
      <c r="G296" t="b">
        <v>0</v>
      </c>
      <c r="H296">
        <v>3</v>
      </c>
      <c r="I296">
        <v>1</v>
      </c>
      <c r="J296">
        <v>0.22</v>
      </c>
      <c r="K296">
        <v>0.19700000000000001</v>
      </c>
      <c r="L296">
        <v>0.44</v>
      </c>
      <c r="M296">
        <v>0.35820000000000002</v>
      </c>
      <c r="N296">
        <v>0</v>
      </c>
      <c r="O296">
        <v>49</v>
      </c>
      <c r="P296">
        <v>49</v>
      </c>
    </row>
    <row r="297" spans="1:16" x14ac:dyDescent="0.3">
      <c r="A297">
        <v>269</v>
      </c>
      <c r="B297" s="1">
        <v>40555</v>
      </c>
      <c r="C297">
        <v>1</v>
      </c>
      <c r="D297">
        <v>0</v>
      </c>
      <c r="E297">
        <v>1</v>
      </c>
      <c r="F297">
        <v>15</v>
      </c>
      <c r="G297" t="b">
        <v>0</v>
      </c>
      <c r="H297">
        <v>3</v>
      </c>
      <c r="I297">
        <v>1</v>
      </c>
      <c r="J297">
        <v>0.2</v>
      </c>
      <c r="K297">
        <v>0.16669999999999999</v>
      </c>
      <c r="L297">
        <v>0.47</v>
      </c>
      <c r="M297">
        <v>0.41789999999999999</v>
      </c>
      <c r="N297">
        <v>1</v>
      </c>
      <c r="O297">
        <v>48</v>
      </c>
      <c r="P297">
        <v>49</v>
      </c>
    </row>
    <row r="298" spans="1:16" x14ac:dyDescent="0.3">
      <c r="A298">
        <v>520</v>
      </c>
      <c r="B298" s="1">
        <v>40566</v>
      </c>
      <c r="C298">
        <v>1</v>
      </c>
      <c r="D298">
        <v>0</v>
      </c>
      <c r="E298">
        <v>1</v>
      </c>
      <c r="F298">
        <v>18</v>
      </c>
      <c r="G298" t="b">
        <v>0</v>
      </c>
      <c r="H298">
        <v>0</v>
      </c>
      <c r="I298">
        <v>1</v>
      </c>
      <c r="J298">
        <v>0.12</v>
      </c>
      <c r="K298">
        <v>0.1212</v>
      </c>
      <c r="L298">
        <v>0.3</v>
      </c>
      <c r="M298">
        <v>0.25369999999999998</v>
      </c>
      <c r="N298">
        <v>5</v>
      </c>
      <c r="O298">
        <v>44</v>
      </c>
      <c r="P298">
        <v>49</v>
      </c>
    </row>
    <row r="299" spans="1:16" x14ac:dyDescent="0.3">
      <c r="A299">
        <v>605</v>
      </c>
      <c r="B299" s="1">
        <v>40571</v>
      </c>
      <c r="C299">
        <v>1</v>
      </c>
      <c r="D299">
        <v>0</v>
      </c>
      <c r="E299">
        <v>1</v>
      </c>
      <c r="F299">
        <v>10</v>
      </c>
      <c r="G299" t="b">
        <v>0</v>
      </c>
      <c r="H299">
        <v>5</v>
      </c>
      <c r="I299">
        <v>3</v>
      </c>
      <c r="J299">
        <v>0.18</v>
      </c>
      <c r="K299">
        <v>0.21210000000000001</v>
      </c>
      <c r="L299">
        <v>0.86</v>
      </c>
      <c r="M299">
        <v>0.1045</v>
      </c>
      <c r="N299">
        <v>0</v>
      </c>
      <c r="O299">
        <v>49</v>
      </c>
      <c r="P299">
        <v>49</v>
      </c>
    </row>
    <row r="300" spans="1:16" x14ac:dyDescent="0.3">
      <c r="A300">
        <v>90</v>
      </c>
      <c r="B300" s="1">
        <v>40547</v>
      </c>
      <c r="C300">
        <v>1</v>
      </c>
      <c r="D300">
        <v>0</v>
      </c>
      <c r="E300">
        <v>1</v>
      </c>
      <c r="F300">
        <v>21</v>
      </c>
      <c r="G300" t="b">
        <v>0</v>
      </c>
      <c r="H300">
        <v>2</v>
      </c>
      <c r="I300">
        <v>1</v>
      </c>
      <c r="J300">
        <v>0.22</v>
      </c>
      <c r="K300">
        <v>0.2727</v>
      </c>
      <c r="L300">
        <v>0.64</v>
      </c>
      <c r="M300">
        <v>0</v>
      </c>
      <c r="N300">
        <v>0</v>
      </c>
      <c r="O300">
        <v>48</v>
      </c>
      <c r="P300">
        <v>48</v>
      </c>
    </row>
    <row r="301" spans="1:16" x14ac:dyDescent="0.3">
      <c r="A301">
        <v>136</v>
      </c>
      <c r="B301" s="1">
        <v>40549</v>
      </c>
      <c r="C301">
        <v>1</v>
      </c>
      <c r="D301">
        <v>0</v>
      </c>
      <c r="E301">
        <v>1</v>
      </c>
      <c r="F301">
        <v>21</v>
      </c>
      <c r="G301" t="b">
        <v>0</v>
      </c>
      <c r="H301">
        <v>4</v>
      </c>
      <c r="I301">
        <v>2</v>
      </c>
      <c r="J301">
        <v>0.22</v>
      </c>
      <c r="K301">
        <v>0.21210000000000001</v>
      </c>
      <c r="L301">
        <v>0.55000000000000004</v>
      </c>
      <c r="M301">
        <v>0.22389999999999999</v>
      </c>
      <c r="N301">
        <v>0</v>
      </c>
      <c r="O301">
        <v>48</v>
      </c>
      <c r="P301">
        <v>48</v>
      </c>
    </row>
    <row r="302" spans="1:16" x14ac:dyDescent="0.3">
      <c r="A302">
        <v>204</v>
      </c>
      <c r="B302" s="1">
        <v>40552</v>
      </c>
      <c r="C302">
        <v>1</v>
      </c>
      <c r="D302">
        <v>0</v>
      </c>
      <c r="E302">
        <v>1</v>
      </c>
      <c r="F302">
        <v>18</v>
      </c>
      <c r="G302" t="b">
        <v>0</v>
      </c>
      <c r="H302">
        <v>0</v>
      </c>
      <c r="I302">
        <v>1</v>
      </c>
      <c r="J302">
        <v>0.16</v>
      </c>
      <c r="K302">
        <v>0.13639999999999999</v>
      </c>
      <c r="L302">
        <v>0.4</v>
      </c>
      <c r="M302">
        <v>0.32840000000000003</v>
      </c>
      <c r="N302">
        <v>4</v>
      </c>
      <c r="O302">
        <v>44</v>
      </c>
      <c r="P302">
        <v>48</v>
      </c>
    </row>
    <row r="303" spans="1:16" x14ac:dyDescent="0.3">
      <c r="A303">
        <v>582</v>
      </c>
      <c r="B303" s="1">
        <v>40569</v>
      </c>
      <c r="C303">
        <v>1</v>
      </c>
      <c r="D303">
        <v>0</v>
      </c>
      <c r="E303">
        <v>1</v>
      </c>
      <c r="F303">
        <v>12</v>
      </c>
      <c r="G303" t="b">
        <v>0</v>
      </c>
      <c r="H303">
        <v>3</v>
      </c>
      <c r="I303">
        <v>3</v>
      </c>
      <c r="J303">
        <v>0.22</v>
      </c>
      <c r="K303">
        <v>0.19700000000000001</v>
      </c>
      <c r="L303">
        <v>0.93</v>
      </c>
      <c r="M303">
        <v>0.32840000000000003</v>
      </c>
      <c r="N303">
        <v>7</v>
      </c>
      <c r="O303">
        <v>41</v>
      </c>
      <c r="P303">
        <v>48</v>
      </c>
    </row>
    <row r="304" spans="1:16" x14ac:dyDescent="0.3">
      <c r="A304">
        <v>224</v>
      </c>
      <c r="B304" s="1">
        <v>40553</v>
      </c>
      <c r="C304">
        <v>1</v>
      </c>
      <c r="D304">
        <v>0</v>
      </c>
      <c r="E304">
        <v>1</v>
      </c>
      <c r="F304">
        <v>14</v>
      </c>
      <c r="G304" t="b">
        <v>0</v>
      </c>
      <c r="H304">
        <v>1</v>
      </c>
      <c r="I304">
        <v>2</v>
      </c>
      <c r="J304">
        <v>0.2</v>
      </c>
      <c r="K304">
        <v>0.19700000000000001</v>
      </c>
      <c r="L304">
        <v>0.4</v>
      </c>
      <c r="M304">
        <v>0.22389999999999999</v>
      </c>
      <c r="N304">
        <v>0</v>
      </c>
      <c r="O304">
        <v>47</v>
      </c>
      <c r="P304">
        <v>47</v>
      </c>
    </row>
    <row r="305" spans="1:16" x14ac:dyDescent="0.3">
      <c r="A305">
        <v>247</v>
      </c>
      <c r="B305" s="1">
        <v>40554</v>
      </c>
      <c r="C305">
        <v>1</v>
      </c>
      <c r="D305">
        <v>0</v>
      </c>
      <c r="E305">
        <v>1</v>
      </c>
      <c r="F305">
        <v>15</v>
      </c>
      <c r="G305" t="b">
        <v>0</v>
      </c>
      <c r="H305">
        <v>2</v>
      </c>
      <c r="I305">
        <v>2</v>
      </c>
      <c r="J305">
        <v>0.16</v>
      </c>
      <c r="K305">
        <v>0.19700000000000001</v>
      </c>
      <c r="L305">
        <v>0.8</v>
      </c>
      <c r="M305">
        <v>8.9599999999999999E-2</v>
      </c>
      <c r="N305">
        <v>2</v>
      </c>
      <c r="O305">
        <v>45</v>
      </c>
      <c r="P305">
        <v>47</v>
      </c>
    </row>
    <row r="306" spans="1:16" x14ac:dyDescent="0.3">
      <c r="A306">
        <v>382</v>
      </c>
      <c r="B306" s="1">
        <v>40560</v>
      </c>
      <c r="C306">
        <v>1</v>
      </c>
      <c r="D306">
        <v>0</v>
      </c>
      <c r="E306">
        <v>1</v>
      </c>
      <c r="F306">
        <v>9</v>
      </c>
      <c r="G306" t="b">
        <v>1</v>
      </c>
      <c r="H306">
        <v>1</v>
      </c>
      <c r="I306">
        <v>2</v>
      </c>
      <c r="J306">
        <v>0.16</v>
      </c>
      <c r="K306">
        <v>0.1515</v>
      </c>
      <c r="L306">
        <v>0.47</v>
      </c>
      <c r="M306">
        <v>0.22389999999999999</v>
      </c>
      <c r="N306">
        <v>8</v>
      </c>
      <c r="O306">
        <v>39</v>
      </c>
      <c r="P306">
        <v>47</v>
      </c>
    </row>
    <row r="307" spans="1:16" x14ac:dyDescent="0.3">
      <c r="A307">
        <v>418</v>
      </c>
      <c r="B307" s="1">
        <v>40562</v>
      </c>
      <c r="C307">
        <v>1</v>
      </c>
      <c r="D307">
        <v>0</v>
      </c>
      <c r="E307">
        <v>1</v>
      </c>
      <c r="F307">
        <v>10</v>
      </c>
      <c r="G307" t="b">
        <v>0</v>
      </c>
      <c r="H307">
        <v>3</v>
      </c>
      <c r="I307">
        <v>2</v>
      </c>
      <c r="J307">
        <v>0.26</v>
      </c>
      <c r="K307">
        <v>0.2727</v>
      </c>
      <c r="L307">
        <v>0.93</v>
      </c>
      <c r="M307">
        <v>0.1343</v>
      </c>
      <c r="N307">
        <v>1</v>
      </c>
      <c r="O307">
        <v>46</v>
      </c>
      <c r="P307">
        <v>47</v>
      </c>
    </row>
    <row r="308" spans="1:16" x14ac:dyDescent="0.3">
      <c r="A308">
        <v>583</v>
      </c>
      <c r="B308" s="1">
        <v>40569</v>
      </c>
      <c r="C308">
        <v>1</v>
      </c>
      <c r="D308">
        <v>0</v>
      </c>
      <c r="E308">
        <v>1</v>
      </c>
      <c r="F308">
        <v>13</v>
      </c>
      <c r="G308" t="b">
        <v>0</v>
      </c>
      <c r="H308">
        <v>3</v>
      </c>
      <c r="I308">
        <v>3</v>
      </c>
      <c r="J308">
        <v>0.22</v>
      </c>
      <c r="K308">
        <v>0.19700000000000001</v>
      </c>
      <c r="L308">
        <v>0.93</v>
      </c>
      <c r="M308">
        <v>0.32840000000000003</v>
      </c>
      <c r="N308">
        <v>4</v>
      </c>
      <c r="O308">
        <v>43</v>
      </c>
      <c r="P308">
        <v>47</v>
      </c>
    </row>
    <row r="309" spans="1:16" x14ac:dyDescent="0.3">
      <c r="A309">
        <v>103</v>
      </c>
      <c r="B309" s="1">
        <v>40548</v>
      </c>
      <c r="C309">
        <v>1</v>
      </c>
      <c r="D309">
        <v>0</v>
      </c>
      <c r="E309">
        <v>1</v>
      </c>
      <c r="F309">
        <v>11</v>
      </c>
      <c r="G309" t="b">
        <v>0</v>
      </c>
      <c r="H309">
        <v>3</v>
      </c>
      <c r="I309">
        <v>1</v>
      </c>
      <c r="J309">
        <v>0.26</v>
      </c>
      <c r="K309">
        <v>0.2273</v>
      </c>
      <c r="L309">
        <v>0.33</v>
      </c>
      <c r="M309">
        <v>0.32840000000000003</v>
      </c>
      <c r="N309">
        <v>12</v>
      </c>
      <c r="O309">
        <v>34</v>
      </c>
      <c r="P309">
        <v>46</v>
      </c>
    </row>
    <row r="310" spans="1:16" x14ac:dyDescent="0.3">
      <c r="A310">
        <v>536</v>
      </c>
      <c r="B310" s="1">
        <v>40567</v>
      </c>
      <c r="C310">
        <v>1</v>
      </c>
      <c r="D310">
        <v>0</v>
      </c>
      <c r="E310">
        <v>1</v>
      </c>
      <c r="F310">
        <v>11</v>
      </c>
      <c r="G310" t="b">
        <v>0</v>
      </c>
      <c r="H310">
        <v>1</v>
      </c>
      <c r="I310">
        <v>1</v>
      </c>
      <c r="J310">
        <v>0.1</v>
      </c>
      <c r="K310">
        <v>0.1212</v>
      </c>
      <c r="L310">
        <v>0.46</v>
      </c>
      <c r="M310">
        <v>0.1343</v>
      </c>
      <c r="N310">
        <v>3</v>
      </c>
      <c r="O310">
        <v>43</v>
      </c>
      <c r="P310">
        <v>46</v>
      </c>
    </row>
    <row r="311" spans="1:16" x14ac:dyDescent="0.3">
      <c r="A311">
        <v>125</v>
      </c>
      <c r="B311" s="1">
        <v>40549</v>
      </c>
      <c r="C311">
        <v>1</v>
      </c>
      <c r="D311">
        <v>0</v>
      </c>
      <c r="E311">
        <v>1</v>
      </c>
      <c r="F311">
        <v>10</v>
      </c>
      <c r="G311" t="b">
        <v>0</v>
      </c>
      <c r="H311">
        <v>4</v>
      </c>
      <c r="I311">
        <v>1</v>
      </c>
      <c r="J311">
        <v>0.2</v>
      </c>
      <c r="K311">
        <v>0.2576</v>
      </c>
      <c r="L311">
        <v>0.47</v>
      </c>
      <c r="M311">
        <v>0</v>
      </c>
      <c r="N311">
        <v>3</v>
      </c>
      <c r="O311">
        <v>42</v>
      </c>
      <c r="P311">
        <v>45</v>
      </c>
    </row>
    <row r="312" spans="1:16" x14ac:dyDescent="0.3">
      <c r="A312">
        <v>225</v>
      </c>
      <c r="B312" s="1">
        <v>40553</v>
      </c>
      <c r="C312">
        <v>1</v>
      </c>
      <c r="D312">
        <v>0</v>
      </c>
      <c r="E312">
        <v>1</v>
      </c>
      <c r="F312">
        <v>15</v>
      </c>
      <c r="G312" t="b">
        <v>0</v>
      </c>
      <c r="H312">
        <v>1</v>
      </c>
      <c r="I312">
        <v>2</v>
      </c>
      <c r="J312">
        <v>0.2</v>
      </c>
      <c r="K312">
        <v>0.19700000000000001</v>
      </c>
      <c r="L312">
        <v>0.4</v>
      </c>
      <c r="M312">
        <v>0.22389999999999999</v>
      </c>
      <c r="N312">
        <v>2</v>
      </c>
      <c r="O312">
        <v>43</v>
      </c>
      <c r="P312">
        <v>45</v>
      </c>
    </row>
    <row r="313" spans="1:16" x14ac:dyDescent="0.3">
      <c r="A313">
        <v>499</v>
      </c>
      <c r="B313" s="1">
        <v>40565</v>
      </c>
      <c r="C313">
        <v>1</v>
      </c>
      <c r="D313">
        <v>0</v>
      </c>
      <c r="E313">
        <v>1</v>
      </c>
      <c r="F313">
        <v>20</v>
      </c>
      <c r="G313" t="b">
        <v>0</v>
      </c>
      <c r="H313">
        <v>6</v>
      </c>
      <c r="I313">
        <v>1</v>
      </c>
      <c r="J313">
        <v>0.06</v>
      </c>
      <c r="K313">
        <v>7.5800000000000006E-2</v>
      </c>
      <c r="L313">
        <v>0.45</v>
      </c>
      <c r="M313">
        <v>0.16420000000000001</v>
      </c>
      <c r="N313">
        <v>1</v>
      </c>
      <c r="O313">
        <v>44</v>
      </c>
      <c r="P313">
        <v>45</v>
      </c>
    </row>
    <row r="314" spans="1:16" x14ac:dyDescent="0.3">
      <c r="A314">
        <v>539</v>
      </c>
      <c r="B314" s="1">
        <v>40567</v>
      </c>
      <c r="C314">
        <v>1</v>
      </c>
      <c r="D314">
        <v>0</v>
      </c>
      <c r="E314">
        <v>1</v>
      </c>
      <c r="F314">
        <v>14</v>
      </c>
      <c r="G314" t="b">
        <v>0</v>
      </c>
      <c r="H314">
        <v>1</v>
      </c>
      <c r="I314">
        <v>2</v>
      </c>
      <c r="J314">
        <v>0.14000000000000001</v>
      </c>
      <c r="K314">
        <v>0.13639999999999999</v>
      </c>
      <c r="L314">
        <v>0.46</v>
      </c>
      <c r="M314">
        <v>0.22389999999999999</v>
      </c>
      <c r="N314">
        <v>2</v>
      </c>
      <c r="O314">
        <v>43</v>
      </c>
      <c r="P314">
        <v>45</v>
      </c>
    </row>
    <row r="315" spans="1:16" x14ac:dyDescent="0.3">
      <c r="A315">
        <v>569</v>
      </c>
      <c r="B315" s="1">
        <v>40568</v>
      </c>
      <c r="C315">
        <v>1</v>
      </c>
      <c r="D315">
        <v>0</v>
      </c>
      <c r="E315">
        <v>1</v>
      </c>
      <c r="F315">
        <v>21</v>
      </c>
      <c r="G315" t="b">
        <v>0</v>
      </c>
      <c r="H315">
        <v>2</v>
      </c>
      <c r="I315">
        <v>1</v>
      </c>
      <c r="J315">
        <v>0.24</v>
      </c>
      <c r="K315">
        <v>0.2273</v>
      </c>
      <c r="L315">
        <v>0.65</v>
      </c>
      <c r="M315">
        <v>0.19400000000000001</v>
      </c>
      <c r="N315">
        <v>5</v>
      </c>
      <c r="O315">
        <v>40</v>
      </c>
      <c r="P315">
        <v>45</v>
      </c>
    </row>
    <row r="316" spans="1:16" x14ac:dyDescent="0.3">
      <c r="A316">
        <v>56</v>
      </c>
      <c r="B316" s="1">
        <v>40546</v>
      </c>
      <c r="C316">
        <v>1</v>
      </c>
      <c r="D316">
        <v>0</v>
      </c>
      <c r="E316">
        <v>1</v>
      </c>
      <c r="F316">
        <v>10</v>
      </c>
      <c r="G316" t="b">
        <v>0</v>
      </c>
      <c r="H316">
        <v>1</v>
      </c>
      <c r="I316">
        <v>1</v>
      </c>
      <c r="J316">
        <v>0.18</v>
      </c>
      <c r="K316">
        <v>0.16669999999999999</v>
      </c>
      <c r="L316">
        <v>0.43</v>
      </c>
      <c r="M316">
        <v>0.25369999999999998</v>
      </c>
      <c r="N316">
        <v>11</v>
      </c>
      <c r="O316">
        <v>33</v>
      </c>
      <c r="P316">
        <v>44</v>
      </c>
    </row>
    <row r="317" spans="1:16" x14ac:dyDescent="0.3">
      <c r="A317">
        <v>268</v>
      </c>
      <c r="B317" s="1">
        <v>40555</v>
      </c>
      <c r="C317">
        <v>1</v>
      </c>
      <c r="D317">
        <v>0</v>
      </c>
      <c r="E317">
        <v>1</v>
      </c>
      <c r="F317">
        <v>14</v>
      </c>
      <c r="G317" t="b">
        <v>0</v>
      </c>
      <c r="H317">
        <v>3</v>
      </c>
      <c r="I317">
        <v>1</v>
      </c>
      <c r="J317">
        <v>0.2</v>
      </c>
      <c r="K317">
        <v>0.18179999999999999</v>
      </c>
      <c r="L317">
        <v>0.47</v>
      </c>
      <c r="M317">
        <v>0.32840000000000003</v>
      </c>
      <c r="N317">
        <v>0</v>
      </c>
      <c r="O317">
        <v>44</v>
      </c>
      <c r="P317">
        <v>44</v>
      </c>
    </row>
    <row r="318" spans="1:16" x14ac:dyDescent="0.3">
      <c r="A318">
        <v>311</v>
      </c>
      <c r="B318" s="1">
        <v>40557</v>
      </c>
      <c r="C318">
        <v>1</v>
      </c>
      <c r="D318">
        <v>0</v>
      </c>
      <c r="E318">
        <v>1</v>
      </c>
      <c r="F318">
        <v>10</v>
      </c>
      <c r="G318" t="b">
        <v>0</v>
      </c>
      <c r="H318">
        <v>5</v>
      </c>
      <c r="I318">
        <v>1</v>
      </c>
      <c r="J318">
        <v>0.18</v>
      </c>
      <c r="K318">
        <v>0.18179999999999999</v>
      </c>
      <c r="L318">
        <v>0.55000000000000004</v>
      </c>
      <c r="M318">
        <v>0.19400000000000001</v>
      </c>
      <c r="N318">
        <v>4</v>
      </c>
      <c r="O318">
        <v>40</v>
      </c>
      <c r="P318">
        <v>44</v>
      </c>
    </row>
    <row r="319" spans="1:16" x14ac:dyDescent="0.3">
      <c r="A319">
        <v>348</v>
      </c>
      <c r="B319" s="1">
        <v>40558</v>
      </c>
      <c r="C319">
        <v>1</v>
      </c>
      <c r="D319">
        <v>0</v>
      </c>
      <c r="E319">
        <v>1</v>
      </c>
      <c r="F319">
        <v>23</v>
      </c>
      <c r="G319" t="b">
        <v>0</v>
      </c>
      <c r="H319">
        <v>6</v>
      </c>
      <c r="I319">
        <v>1</v>
      </c>
      <c r="J319">
        <v>0.3</v>
      </c>
      <c r="K319">
        <v>0.28789999999999999</v>
      </c>
      <c r="L319">
        <v>0.45</v>
      </c>
      <c r="M319">
        <v>0.28360000000000002</v>
      </c>
      <c r="N319">
        <v>5</v>
      </c>
      <c r="O319">
        <v>39</v>
      </c>
      <c r="P319">
        <v>44</v>
      </c>
    </row>
    <row r="320" spans="1:16" x14ac:dyDescent="0.3">
      <c r="A320">
        <v>113</v>
      </c>
      <c r="B320" s="1">
        <v>40548</v>
      </c>
      <c r="C320">
        <v>1</v>
      </c>
      <c r="D320">
        <v>0</v>
      </c>
      <c r="E320">
        <v>1</v>
      </c>
      <c r="F320">
        <v>21</v>
      </c>
      <c r="G320" t="b">
        <v>0</v>
      </c>
      <c r="H320">
        <v>3</v>
      </c>
      <c r="I320">
        <v>1</v>
      </c>
      <c r="J320">
        <v>0.2</v>
      </c>
      <c r="K320">
        <v>0.19700000000000001</v>
      </c>
      <c r="L320">
        <v>0.51</v>
      </c>
      <c r="M320">
        <v>0.19400000000000001</v>
      </c>
      <c r="N320">
        <v>3</v>
      </c>
      <c r="O320">
        <v>40</v>
      </c>
      <c r="P320">
        <v>43</v>
      </c>
    </row>
    <row r="321" spans="1:16" x14ac:dyDescent="0.3">
      <c r="A321">
        <v>585</v>
      </c>
      <c r="B321" s="1">
        <v>40569</v>
      </c>
      <c r="C321">
        <v>1</v>
      </c>
      <c r="D321">
        <v>0</v>
      </c>
      <c r="E321">
        <v>1</v>
      </c>
      <c r="F321">
        <v>15</v>
      </c>
      <c r="G321" t="b">
        <v>0</v>
      </c>
      <c r="H321">
        <v>3</v>
      </c>
      <c r="I321">
        <v>3</v>
      </c>
      <c r="J321">
        <v>0.22</v>
      </c>
      <c r="K321">
        <v>0.18179999999999999</v>
      </c>
      <c r="L321">
        <v>0.93</v>
      </c>
      <c r="M321">
        <v>0.4627</v>
      </c>
      <c r="N321">
        <v>1</v>
      </c>
      <c r="O321">
        <v>42</v>
      </c>
      <c r="P321">
        <v>43</v>
      </c>
    </row>
    <row r="322" spans="1:16" x14ac:dyDescent="0.3">
      <c r="A322">
        <v>79</v>
      </c>
      <c r="B322" s="1">
        <v>40547</v>
      </c>
      <c r="C322">
        <v>1</v>
      </c>
      <c r="D322">
        <v>0</v>
      </c>
      <c r="E322">
        <v>1</v>
      </c>
      <c r="F322">
        <v>10</v>
      </c>
      <c r="G322" t="b">
        <v>0</v>
      </c>
      <c r="H322">
        <v>2</v>
      </c>
      <c r="I322">
        <v>2</v>
      </c>
      <c r="J322">
        <v>0.16</v>
      </c>
      <c r="K322">
        <v>0.13639999999999999</v>
      </c>
      <c r="L322">
        <v>0.69</v>
      </c>
      <c r="M322">
        <v>0.32840000000000003</v>
      </c>
      <c r="N322">
        <v>5</v>
      </c>
      <c r="O322">
        <v>37</v>
      </c>
      <c r="P322">
        <v>42</v>
      </c>
    </row>
    <row r="323" spans="1:16" x14ac:dyDescent="0.3">
      <c r="A323">
        <v>114</v>
      </c>
      <c r="B323" s="1">
        <v>40548</v>
      </c>
      <c r="C323">
        <v>1</v>
      </c>
      <c r="D323">
        <v>0</v>
      </c>
      <c r="E323">
        <v>1</v>
      </c>
      <c r="F323">
        <v>22</v>
      </c>
      <c r="G323" t="b">
        <v>0</v>
      </c>
      <c r="H323">
        <v>3</v>
      </c>
      <c r="I323">
        <v>1</v>
      </c>
      <c r="J323">
        <v>0.18</v>
      </c>
      <c r="K323">
        <v>0.19700000000000001</v>
      </c>
      <c r="L323">
        <v>0.55000000000000004</v>
      </c>
      <c r="M323">
        <v>0.1343</v>
      </c>
      <c r="N323">
        <v>1</v>
      </c>
      <c r="O323">
        <v>41</v>
      </c>
      <c r="P323">
        <v>42</v>
      </c>
    </row>
    <row r="324" spans="1:16" x14ac:dyDescent="0.3">
      <c r="A324">
        <v>292</v>
      </c>
      <c r="B324" s="1">
        <v>40556</v>
      </c>
      <c r="C324">
        <v>1</v>
      </c>
      <c r="D324">
        <v>0</v>
      </c>
      <c r="E324">
        <v>1</v>
      </c>
      <c r="F324">
        <v>14</v>
      </c>
      <c r="G324" t="b">
        <v>0</v>
      </c>
      <c r="H324">
        <v>4</v>
      </c>
      <c r="I324">
        <v>1</v>
      </c>
      <c r="J324">
        <v>0.22</v>
      </c>
      <c r="K324">
        <v>0.19700000000000001</v>
      </c>
      <c r="L324">
        <v>0.41</v>
      </c>
      <c r="M324">
        <v>0.3881</v>
      </c>
      <c r="N324">
        <v>3</v>
      </c>
      <c r="O324">
        <v>39</v>
      </c>
      <c r="P324">
        <v>42</v>
      </c>
    </row>
    <row r="325" spans="1:16" x14ac:dyDescent="0.3">
      <c r="A325">
        <v>205</v>
      </c>
      <c r="B325" s="1">
        <v>40552</v>
      </c>
      <c r="C325">
        <v>1</v>
      </c>
      <c r="D325">
        <v>0</v>
      </c>
      <c r="E325">
        <v>1</v>
      </c>
      <c r="F325">
        <v>19</v>
      </c>
      <c r="G325" t="b">
        <v>0</v>
      </c>
      <c r="H325">
        <v>0</v>
      </c>
      <c r="I325">
        <v>1</v>
      </c>
      <c r="J325">
        <v>0.16</v>
      </c>
      <c r="K325">
        <v>0.13639999999999999</v>
      </c>
      <c r="L325">
        <v>0.43</v>
      </c>
      <c r="M325">
        <v>0.32840000000000003</v>
      </c>
      <c r="N325">
        <v>1</v>
      </c>
      <c r="O325">
        <v>40</v>
      </c>
      <c r="P325">
        <v>41</v>
      </c>
    </row>
    <row r="326" spans="1:16" x14ac:dyDescent="0.3">
      <c r="A326">
        <v>345</v>
      </c>
      <c r="B326" s="1">
        <v>40558</v>
      </c>
      <c r="C326">
        <v>1</v>
      </c>
      <c r="D326">
        <v>0</v>
      </c>
      <c r="E326">
        <v>1</v>
      </c>
      <c r="F326">
        <v>20</v>
      </c>
      <c r="G326" t="b">
        <v>0</v>
      </c>
      <c r="H326">
        <v>6</v>
      </c>
      <c r="I326">
        <v>2</v>
      </c>
      <c r="J326">
        <v>0.32</v>
      </c>
      <c r="K326">
        <v>0.30299999999999999</v>
      </c>
      <c r="L326">
        <v>0.39</v>
      </c>
      <c r="M326">
        <v>0.25369999999999998</v>
      </c>
      <c r="N326">
        <v>6</v>
      </c>
      <c r="O326">
        <v>35</v>
      </c>
      <c r="P326">
        <v>41</v>
      </c>
    </row>
    <row r="327" spans="1:16" x14ac:dyDescent="0.3">
      <c r="A327">
        <v>406</v>
      </c>
      <c r="B327" s="1">
        <v>40561</v>
      </c>
      <c r="C327">
        <v>1</v>
      </c>
      <c r="D327">
        <v>0</v>
      </c>
      <c r="E327">
        <v>1</v>
      </c>
      <c r="F327">
        <v>21</v>
      </c>
      <c r="G327" t="b">
        <v>0</v>
      </c>
      <c r="H327">
        <v>2</v>
      </c>
      <c r="I327">
        <v>2</v>
      </c>
      <c r="J327">
        <v>0.22</v>
      </c>
      <c r="K327">
        <v>0.2424</v>
      </c>
      <c r="L327">
        <v>0.93</v>
      </c>
      <c r="M327">
        <v>0.1045</v>
      </c>
      <c r="N327">
        <v>0</v>
      </c>
      <c r="O327">
        <v>41</v>
      </c>
      <c r="P327">
        <v>41</v>
      </c>
    </row>
    <row r="328" spans="1:16" x14ac:dyDescent="0.3">
      <c r="A328">
        <v>477</v>
      </c>
      <c r="B328" s="1">
        <v>40564</v>
      </c>
      <c r="C328">
        <v>1</v>
      </c>
      <c r="D328">
        <v>0</v>
      </c>
      <c r="E328">
        <v>1</v>
      </c>
      <c r="F328">
        <v>21</v>
      </c>
      <c r="G328" t="b">
        <v>0</v>
      </c>
      <c r="H328">
        <v>5</v>
      </c>
      <c r="I328">
        <v>1</v>
      </c>
      <c r="J328">
        <v>0.08</v>
      </c>
      <c r="K328">
        <v>7.5800000000000006E-2</v>
      </c>
      <c r="L328">
        <v>0.38</v>
      </c>
      <c r="M328">
        <v>0.28360000000000002</v>
      </c>
      <c r="N328">
        <v>0</v>
      </c>
      <c r="O328">
        <v>41</v>
      </c>
      <c r="P328">
        <v>41</v>
      </c>
    </row>
    <row r="329" spans="1:16" x14ac:dyDescent="0.3">
      <c r="A329">
        <v>581</v>
      </c>
      <c r="B329" s="1">
        <v>40569</v>
      </c>
      <c r="C329">
        <v>1</v>
      </c>
      <c r="D329">
        <v>0</v>
      </c>
      <c r="E329">
        <v>1</v>
      </c>
      <c r="F329">
        <v>11</v>
      </c>
      <c r="G329" t="b">
        <v>0</v>
      </c>
      <c r="H329">
        <v>3</v>
      </c>
      <c r="I329">
        <v>3</v>
      </c>
      <c r="J329">
        <v>0.22</v>
      </c>
      <c r="K329">
        <v>0.19700000000000001</v>
      </c>
      <c r="L329">
        <v>0.93</v>
      </c>
      <c r="M329">
        <v>0.32840000000000003</v>
      </c>
      <c r="N329">
        <v>6</v>
      </c>
      <c r="O329">
        <v>35</v>
      </c>
      <c r="P329">
        <v>41</v>
      </c>
    </row>
    <row r="330" spans="1:16" x14ac:dyDescent="0.3">
      <c r="A330">
        <v>610</v>
      </c>
      <c r="B330" s="1">
        <v>40571</v>
      </c>
      <c r="C330">
        <v>1</v>
      </c>
      <c r="D330">
        <v>0</v>
      </c>
      <c r="E330">
        <v>1</v>
      </c>
      <c r="F330">
        <v>15</v>
      </c>
      <c r="G330" t="b">
        <v>0</v>
      </c>
      <c r="H330">
        <v>5</v>
      </c>
      <c r="I330">
        <v>2</v>
      </c>
      <c r="J330">
        <v>0.2</v>
      </c>
      <c r="K330">
        <v>0.2576</v>
      </c>
      <c r="L330">
        <v>0.86</v>
      </c>
      <c r="M330">
        <v>0</v>
      </c>
      <c r="N330">
        <v>1</v>
      </c>
      <c r="O330">
        <v>40</v>
      </c>
      <c r="P330">
        <v>41</v>
      </c>
    </row>
    <row r="331" spans="1:16" x14ac:dyDescent="0.3">
      <c r="A331">
        <v>2</v>
      </c>
      <c r="B331" s="1">
        <v>40544</v>
      </c>
      <c r="C331">
        <v>1</v>
      </c>
      <c r="D331">
        <v>0</v>
      </c>
      <c r="E331">
        <v>1</v>
      </c>
      <c r="F331">
        <v>1</v>
      </c>
      <c r="G331" t="b">
        <v>0</v>
      </c>
      <c r="H331">
        <v>6</v>
      </c>
      <c r="I331">
        <v>1</v>
      </c>
      <c r="J331">
        <v>0.22</v>
      </c>
      <c r="K331">
        <v>0.2727</v>
      </c>
      <c r="L331">
        <v>0.8</v>
      </c>
      <c r="M331">
        <v>0</v>
      </c>
      <c r="N331">
        <v>8</v>
      </c>
      <c r="O331">
        <v>32</v>
      </c>
      <c r="P331">
        <v>40</v>
      </c>
    </row>
    <row r="332" spans="1:16" x14ac:dyDescent="0.3">
      <c r="A332">
        <v>299</v>
      </c>
      <c r="B332" s="1">
        <v>40556</v>
      </c>
      <c r="C332">
        <v>1</v>
      </c>
      <c r="D332">
        <v>0</v>
      </c>
      <c r="E332">
        <v>1</v>
      </c>
      <c r="F332">
        <v>21</v>
      </c>
      <c r="G332" t="b">
        <v>0</v>
      </c>
      <c r="H332">
        <v>4</v>
      </c>
      <c r="I332">
        <v>1</v>
      </c>
      <c r="J332">
        <v>0.14000000000000001</v>
      </c>
      <c r="K332">
        <v>0.1212</v>
      </c>
      <c r="L332">
        <v>0.46</v>
      </c>
      <c r="M332">
        <v>0.29849999999999999</v>
      </c>
      <c r="N332">
        <v>0</v>
      </c>
      <c r="O332">
        <v>40</v>
      </c>
      <c r="P332">
        <v>40</v>
      </c>
    </row>
    <row r="333" spans="1:16" x14ac:dyDescent="0.3">
      <c r="A333">
        <v>488</v>
      </c>
      <c r="B333" s="1">
        <v>40565</v>
      </c>
      <c r="C333">
        <v>1</v>
      </c>
      <c r="D333">
        <v>0</v>
      </c>
      <c r="E333">
        <v>1</v>
      </c>
      <c r="F333">
        <v>9</v>
      </c>
      <c r="G333" t="b">
        <v>0</v>
      </c>
      <c r="H333">
        <v>6</v>
      </c>
      <c r="I333">
        <v>1</v>
      </c>
      <c r="J333">
        <v>0.04</v>
      </c>
      <c r="K333">
        <v>3.0300000000000001E-2</v>
      </c>
      <c r="L333">
        <v>0.41</v>
      </c>
      <c r="M333">
        <v>0.25369999999999998</v>
      </c>
      <c r="N333">
        <v>3</v>
      </c>
      <c r="O333">
        <v>37</v>
      </c>
      <c r="P333">
        <v>40</v>
      </c>
    </row>
    <row r="334" spans="1:16" x14ac:dyDescent="0.3">
      <c r="A334">
        <v>535</v>
      </c>
      <c r="B334" s="1">
        <v>40567</v>
      </c>
      <c r="C334">
        <v>1</v>
      </c>
      <c r="D334">
        <v>0</v>
      </c>
      <c r="E334">
        <v>1</v>
      </c>
      <c r="F334">
        <v>10</v>
      </c>
      <c r="G334" t="b">
        <v>0</v>
      </c>
      <c r="H334">
        <v>1</v>
      </c>
      <c r="I334">
        <v>1</v>
      </c>
      <c r="J334">
        <v>0.1</v>
      </c>
      <c r="K334">
        <v>0.13639999999999999</v>
      </c>
      <c r="L334">
        <v>0.42</v>
      </c>
      <c r="M334">
        <v>0</v>
      </c>
      <c r="N334">
        <v>6</v>
      </c>
      <c r="O334">
        <v>34</v>
      </c>
      <c r="P334">
        <v>40</v>
      </c>
    </row>
    <row r="335" spans="1:16" x14ac:dyDescent="0.3">
      <c r="A335">
        <v>571</v>
      </c>
      <c r="B335" s="1">
        <v>40568</v>
      </c>
      <c r="C335">
        <v>1</v>
      </c>
      <c r="D335">
        <v>0</v>
      </c>
      <c r="E335">
        <v>1</v>
      </c>
      <c r="F335">
        <v>23</v>
      </c>
      <c r="G335" t="b">
        <v>0</v>
      </c>
      <c r="H335">
        <v>2</v>
      </c>
      <c r="I335">
        <v>2</v>
      </c>
      <c r="J335">
        <v>0.22</v>
      </c>
      <c r="K335">
        <v>0.2273</v>
      </c>
      <c r="L335">
        <v>0.64</v>
      </c>
      <c r="M335">
        <v>0.16420000000000001</v>
      </c>
      <c r="N335">
        <v>3</v>
      </c>
      <c r="O335">
        <v>37</v>
      </c>
      <c r="P335">
        <v>40</v>
      </c>
    </row>
    <row r="336" spans="1:16" x14ac:dyDescent="0.3">
      <c r="A336">
        <v>24</v>
      </c>
      <c r="B336" s="1">
        <v>40544</v>
      </c>
      <c r="C336">
        <v>1</v>
      </c>
      <c r="D336">
        <v>0</v>
      </c>
      <c r="E336">
        <v>1</v>
      </c>
      <c r="F336">
        <v>23</v>
      </c>
      <c r="G336" t="b">
        <v>0</v>
      </c>
      <c r="H336">
        <v>6</v>
      </c>
      <c r="I336">
        <v>2</v>
      </c>
      <c r="J336">
        <v>0.46</v>
      </c>
      <c r="L336">
        <v>0.88</v>
      </c>
      <c r="M336">
        <v>0.29849999999999999</v>
      </c>
      <c r="N336">
        <v>15</v>
      </c>
      <c r="O336">
        <v>24</v>
      </c>
      <c r="P336">
        <v>39</v>
      </c>
    </row>
    <row r="337" spans="1:16" x14ac:dyDescent="0.3">
      <c r="A337">
        <v>159</v>
      </c>
      <c r="B337" s="1">
        <v>40550</v>
      </c>
      <c r="C337">
        <v>1</v>
      </c>
      <c r="D337">
        <v>0</v>
      </c>
      <c r="E337">
        <v>1</v>
      </c>
      <c r="F337">
        <v>21</v>
      </c>
      <c r="G337" t="b">
        <v>0</v>
      </c>
      <c r="H337">
        <v>5</v>
      </c>
      <c r="I337">
        <v>1</v>
      </c>
      <c r="J337">
        <v>0.18</v>
      </c>
      <c r="K337">
        <v>0.19700000000000001</v>
      </c>
      <c r="L337">
        <v>0.47</v>
      </c>
      <c r="M337">
        <v>0.1343</v>
      </c>
      <c r="N337">
        <v>0</v>
      </c>
      <c r="O337">
        <v>39</v>
      </c>
      <c r="P337">
        <v>39</v>
      </c>
    </row>
    <row r="338" spans="1:16" x14ac:dyDescent="0.3">
      <c r="A338">
        <v>264</v>
      </c>
      <c r="B338" s="1">
        <v>40555</v>
      </c>
      <c r="C338">
        <v>1</v>
      </c>
      <c r="D338">
        <v>0</v>
      </c>
      <c r="E338">
        <v>1</v>
      </c>
      <c r="F338">
        <v>10</v>
      </c>
      <c r="G338" t="b">
        <v>0</v>
      </c>
      <c r="H338">
        <v>3</v>
      </c>
      <c r="I338">
        <v>1</v>
      </c>
      <c r="J338">
        <v>0.18</v>
      </c>
      <c r="K338">
        <v>0.18179999999999999</v>
      </c>
      <c r="L338">
        <v>0.55000000000000004</v>
      </c>
      <c r="M338">
        <v>0.22389999999999999</v>
      </c>
      <c r="N338">
        <v>0</v>
      </c>
      <c r="O338">
        <v>39</v>
      </c>
      <c r="P338">
        <v>39</v>
      </c>
    </row>
    <row r="339" spans="1:16" x14ac:dyDescent="0.3">
      <c r="A339">
        <v>349</v>
      </c>
      <c r="B339" s="1">
        <v>40559</v>
      </c>
      <c r="C339">
        <v>1</v>
      </c>
      <c r="D339">
        <v>0</v>
      </c>
      <c r="E339">
        <v>1</v>
      </c>
      <c r="F339">
        <v>0</v>
      </c>
      <c r="G339" t="b">
        <v>0</v>
      </c>
      <c r="H339">
        <v>0</v>
      </c>
      <c r="I339">
        <v>1</v>
      </c>
      <c r="J339">
        <v>0.26</v>
      </c>
      <c r="K339">
        <v>0.30299999999999999</v>
      </c>
      <c r="L339">
        <v>0.56000000000000005</v>
      </c>
      <c r="M339">
        <v>0</v>
      </c>
      <c r="N339">
        <v>6</v>
      </c>
      <c r="O339">
        <v>33</v>
      </c>
      <c r="P339">
        <v>39</v>
      </c>
    </row>
    <row r="340" spans="1:16" x14ac:dyDescent="0.3">
      <c r="A340">
        <v>500</v>
      </c>
      <c r="B340" s="1">
        <v>40565</v>
      </c>
      <c r="C340">
        <v>1</v>
      </c>
      <c r="D340">
        <v>0</v>
      </c>
      <c r="E340">
        <v>1</v>
      </c>
      <c r="F340">
        <v>21</v>
      </c>
      <c r="G340" t="b">
        <v>0</v>
      </c>
      <c r="H340">
        <v>6</v>
      </c>
      <c r="I340">
        <v>1</v>
      </c>
      <c r="J340">
        <v>0.06</v>
      </c>
      <c r="K340">
        <v>0.1061</v>
      </c>
      <c r="L340">
        <v>0.41</v>
      </c>
      <c r="M340">
        <v>8.9599999999999999E-2</v>
      </c>
      <c r="N340">
        <v>0</v>
      </c>
      <c r="O340">
        <v>39</v>
      </c>
      <c r="P340">
        <v>39</v>
      </c>
    </row>
    <row r="341" spans="1:16" x14ac:dyDescent="0.3">
      <c r="A341">
        <v>206</v>
      </c>
      <c r="B341" s="1">
        <v>40552</v>
      </c>
      <c r="C341">
        <v>1</v>
      </c>
      <c r="D341">
        <v>0</v>
      </c>
      <c r="E341">
        <v>1</v>
      </c>
      <c r="F341">
        <v>20</v>
      </c>
      <c r="G341" t="b">
        <v>0</v>
      </c>
      <c r="H341">
        <v>0</v>
      </c>
      <c r="I341">
        <v>1</v>
      </c>
      <c r="J341">
        <v>0.14000000000000001</v>
      </c>
      <c r="K341">
        <v>0.1212</v>
      </c>
      <c r="L341">
        <v>0.46</v>
      </c>
      <c r="M341">
        <v>0.25369999999999998</v>
      </c>
      <c r="N341">
        <v>0</v>
      </c>
      <c r="O341">
        <v>38</v>
      </c>
      <c r="P341">
        <v>38</v>
      </c>
    </row>
    <row r="342" spans="1:16" x14ac:dyDescent="0.3">
      <c r="A342">
        <v>231</v>
      </c>
      <c r="B342" s="1">
        <v>40553</v>
      </c>
      <c r="C342">
        <v>1</v>
      </c>
      <c r="D342">
        <v>0</v>
      </c>
      <c r="E342">
        <v>1</v>
      </c>
      <c r="F342">
        <v>21</v>
      </c>
      <c r="G342" t="b">
        <v>0</v>
      </c>
      <c r="H342">
        <v>1</v>
      </c>
      <c r="I342">
        <v>1</v>
      </c>
      <c r="J342">
        <v>0.14000000000000001</v>
      </c>
      <c r="K342">
        <v>0.13639999999999999</v>
      </c>
      <c r="L342">
        <v>0.59</v>
      </c>
      <c r="M342">
        <v>0.19400000000000001</v>
      </c>
      <c r="N342">
        <v>1</v>
      </c>
      <c r="O342">
        <v>37</v>
      </c>
      <c r="P342">
        <v>38</v>
      </c>
    </row>
    <row r="343" spans="1:16" x14ac:dyDescent="0.3">
      <c r="A343">
        <v>288</v>
      </c>
      <c r="B343" s="1">
        <v>40556</v>
      </c>
      <c r="C343">
        <v>1</v>
      </c>
      <c r="D343">
        <v>0</v>
      </c>
      <c r="E343">
        <v>1</v>
      </c>
      <c r="F343">
        <v>10</v>
      </c>
      <c r="G343" t="b">
        <v>0</v>
      </c>
      <c r="H343">
        <v>4</v>
      </c>
      <c r="I343">
        <v>2</v>
      </c>
      <c r="J343">
        <v>0.16</v>
      </c>
      <c r="K343">
        <v>0.13639999999999999</v>
      </c>
      <c r="L343">
        <v>0.5</v>
      </c>
      <c r="M343">
        <v>0.35820000000000002</v>
      </c>
      <c r="N343">
        <v>2</v>
      </c>
      <c r="O343">
        <v>36</v>
      </c>
      <c r="P343">
        <v>38</v>
      </c>
    </row>
    <row r="344" spans="1:16" x14ac:dyDescent="0.3">
      <c r="A344">
        <v>593</v>
      </c>
      <c r="B344" s="1">
        <v>40570</v>
      </c>
      <c r="C344">
        <v>1</v>
      </c>
      <c r="D344">
        <v>0</v>
      </c>
      <c r="E344">
        <v>1</v>
      </c>
      <c r="F344">
        <v>21</v>
      </c>
      <c r="G344" t="b">
        <v>0</v>
      </c>
      <c r="H344">
        <v>4</v>
      </c>
      <c r="I344">
        <v>1</v>
      </c>
      <c r="J344">
        <v>0.18</v>
      </c>
      <c r="K344">
        <v>0.21210000000000001</v>
      </c>
      <c r="L344">
        <v>0.74</v>
      </c>
      <c r="M344">
        <v>8.9599999999999999E-2</v>
      </c>
      <c r="N344">
        <v>2</v>
      </c>
      <c r="O344">
        <v>36</v>
      </c>
      <c r="P344">
        <v>38</v>
      </c>
    </row>
    <row r="345" spans="1:16" x14ac:dyDescent="0.3">
      <c r="A345">
        <v>609</v>
      </c>
      <c r="B345" s="1">
        <v>40571</v>
      </c>
      <c r="C345">
        <v>1</v>
      </c>
      <c r="D345">
        <v>0</v>
      </c>
      <c r="E345">
        <v>1</v>
      </c>
      <c r="F345">
        <v>14</v>
      </c>
      <c r="G345" t="b">
        <v>0</v>
      </c>
      <c r="H345">
        <v>5</v>
      </c>
      <c r="I345">
        <v>3</v>
      </c>
      <c r="J345">
        <v>0.22</v>
      </c>
      <c r="K345">
        <v>0.2727</v>
      </c>
      <c r="L345">
        <v>0.8</v>
      </c>
      <c r="M345">
        <v>0</v>
      </c>
      <c r="N345">
        <v>2</v>
      </c>
      <c r="O345">
        <v>36</v>
      </c>
      <c r="P345">
        <v>38</v>
      </c>
    </row>
    <row r="346" spans="1:16" x14ac:dyDescent="0.3">
      <c r="A346">
        <v>20</v>
      </c>
      <c r="B346" s="1">
        <v>40544</v>
      </c>
      <c r="C346">
        <v>1</v>
      </c>
      <c r="D346">
        <v>0</v>
      </c>
      <c r="E346">
        <v>1</v>
      </c>
      <c r="F346">
        <v>19</v>
      </c>
      <c r="G346" t="b">
        <v>0</v>
      </c>
      <c r="H346">
        <v>6</v>
      </c>
      <c r="I346">
        <v>3</v>
      </c>
      <c r="J346">
        <v>0.42</v>
      </c>
      <c r="K346">
        <v>0.42420000000000002</v>
      </c>
      <c r="L346">
        <v>0.88</v>
      </c>
      <c r="M346">
        <v>0.25369999999999998</v>
      </c>
      <c r="N346">
        <v>6</v>
      </c>
      <c r="O346">
        <v>31</v>
      </c>
      <c r="P346">
        <v>37</v>
      </c>
    </row>
    <row r="347" spans="1:16" x14ac:dyDescent="0.3">
      <c r="A347">
        <v>183</v>
      </c>
      <c r="B347" s="1">
        <v>40551</v>
      </c>
      <c r="C347">
        <v>1</v>
      </c>
      <c r="D347">
        <v>0</v>
      </c>
      <c r="E347">
        <v>1</v>
      </c>
      <c r="F347">
        <v>21</v>
      </c>
      <c r="G347" t="b">
        <v>0</v>
      </c>
      <c r="H347">
        <v>6</v>
      </c>
      <c r="I347">
        <v>1</v>
      </c>
      <c r="J347">
        <v>0.12</v>
      </c>
      <c r="K347">
        <v>0.1061</v>
      </c>
      <c r="L347">
        <v>0.39</v>
      </c>
      <c r="M347">
        <v>0.35820000000000002</v>
      </c>
      <c r="N347">
        <v>2</v>
      </c>
      <c r="O347">
        <v>35</v>
      </c>
      <c r="P347">
        <v>37</v>
      </c>
    </row>
    <row r="348" spans="1:16" x14ac:dyDescent="0.3">
      <c r="A348">
        <v>289</v>
      </c>
      <c r="B348" s="1">
        <v>40556</v>
      </c>
      <c r="C348">
        <v>1</v>
      </c>
      <c r="D348">
        <v>0</v>
      </c>
      <c r="E348">
        <v>1</v>
      </c>
      <c r="F348">
        <v>11</v>
      </c>
      <c r="G348" t="b">
        <v>0</v>
      </c>
      <c r="H348">
        <v>4</v>
      </c>
      <c r="I348">
        <v>2</v>
      </c>
      <c r="J348">
        <v>0.2</v>
      </c>
      <c r="K348">
        <v>0.16669999999999999</v>
      </c>
      <c r="L348">
        <v>0.44</v>
      </c>
      <c r="M348">
        <v>0.44779999999999998</v>
      </c>
      <c r="N348">
        <v>4</v>
      </c>
      <c r="O348">
        <v>33</v>
      </c>
      <c r="P348">
        <v>37</v>
      </c>
    </row>
    <row r="349" spans="1:16" x14ac:dyDescent="0.3">
      <c r="A349">
        <v>11</v>
      </c>
      <c r="B349" s="1">
        <v>40544</v>
      </c>
      <c r="C349">
        <v>1</v>
      </c>
      <c r="D349">
        <v>0</v>
      </c>
      <c r="E349">
        <v>1</v>
      </c>
      <c r="F349">
        <v>10</v>
      </c>
      <c r="G349" t="b">
        <v>0</v>
      </c>
      <c r="H349">
        <v>6</v>
      </c>
      <c r="I349">
        <v>1</v>
      </c>
      <c r="J349">
        <v>0.38</v>
      </c>
      <c r="K349">
        <v>0.39389999999999997</v>
      </c>
      <c r="L349">
        <v>0.76</v>
      </c>
      <c r="M349">
        <v>0.25369999999999998</v>
      </c>
      <c r="N349">
        <v>12</v>
      </c>
      <c r="O349">
        <v>24</v>
      </c>
      <c r="P349">
        <v>36</v>
      </c>
    </row>
    <row r="350" spans="1:16" x14ac:dyDescent="0.3">
      <c r="A350">
        <v>21</v>
      </c>
      <c r="B350" s="1">
        <v>40544</v>
      </c>
      <c r="C350">
        <v>1</v>
      </c>
      <c r="D350">
        <v>0</v>
      </c>
      <c r="E350">
        <v>1</v>
      </c>
      <c r="F350">
        <v>20</v>
      </c>
      <c r="G350" t="b">
        <v>0</v>
      </c>
      <c r="H350">
        <v>6</v>
      </c>
      <c r="I350">
        <v>2</v>
      </c>
      <c r="J350">
        <v>0.4</v>
      </c>
      <c r="K350">
        <v>0.40910000000000002</v>
      </c>
      <c r="L350">
        <v>0.87</v>
      </c>
      <c r="M350">
        <v>0.25369999999999998</v>
      </c>
      <c r="N350">
        <v>11</v>
      </c>
      <c r="O350">
        <v>25</v>
      </c>
      <c r="P350">
        <v>36</v>
      </c>
    </row>
    <row r="351" spans="1:16" x14ac:dyDescent="0.3">
      <c r="A351">
        <v>75</v>
      </c>
      <c r="B351" s="1">
        <v>40547</v>
      </c>
      <c r="C351">
        <v>1</v>
      </c>
      <c r="D351">
        <v>0</v>
      </c>
      <c r="E351">
        <v>1</v>
      </c>
      <c r="F351">
        <v>6</v>
      </c>
      <c r="G351" t="b">
        <v>0</v>
      </c>
      <c r="H351">
        <v>2</v>
      </c>
      <c r="I351">
        <v>1</v>
      </c>
      <c r="J351">
        <v>0.12</v>
      </c>
      <c r="K351">
        <v>0.1515</v>
      </c>
      <c r="L351">
        <v>0.74</v>
      </c>
      <c r="M351">
        <v>0.1045</v>
      </c>
      <c r="N351">
        <v>0</v>
      </c>
      <c r="O351">
        <v>36</v>
      </c>
      <c r="P351">
        <v>36</v>
      </c>
    </row>
    <row r="352" spans="1:16" x14ac:dyDescent="0.3">
      <c r="A352">
        <v>121</v>
      </c>
      <c r="B352" s="1">
        <v>40549</v>
      </c>
      <c r="C352">
        <v>1</v>
      </c>
      <c r="D352">
        <v>0</v>
      </c>
      <c r="E352">
        <v>1</v>
      </c>
      <c r="F352">
        <v>6</v>
      </c>
      <c r="G352" t="b">
        <v>0</v>
      </c>
      <c r="H352">
        <v>4</v>
      </c>
      <c r="I352">
        <v>2</v>
      </c>
      <c r="J352">
        <v>0.14000000000000001</v>
      </c>
      <c r="K352">
        <v>0.16669999999999999</v>
      </c>
      <c r="L352">
        <v>0.63</v>
      </c>
      <c r="M352">
        <v>0.1045</v>
      </c>
      <c r="N352">
        <v>0</v>
      </c>
      <c r="O352">
        <v>36</v>
      </c>
      <c r="P352">
        <v>36</v>
      </c>
    </row>
    <row r="353" spans="1:16" x14ac:dyDescent="0.3">
      <c r="A353">
        <v>160</v>
      </c>
      <c r="B353" s="1">
        <v>40550</v>
      </c>
      <c r="C353">
        <v>1</v>
      </c>
      <c r="D353">
        <v>0</v>
      </c>
      <c r="E353">
        <v>1</v>
      </c>
      <c r="F353">
        <v>22</v>
      </c>
      <c r="G353" t="b">
        <v>0</v>
      </c>
      <c r="H353">
        <v>5</v>
      </c>
      <c r="I353">
        <v>2</v>
      </c>
      <c r="J353">
        <v>0.18</v>
      </c>
      <c r="K353">
        <v>0.19700000000000001</v>
      </c>
      <c r="L353">
        <v>0.43</v>
      </c>
      <c r="M353">
        <v>0.16420000000000001</v>
      </c>
      <c r="N353">
        <v>2</v>
      </c>
      <c r="O353">
        <v>34</v>
      </c>
      <c r="P353">
        <v>36</v>
      </c>
    </row>
    <row r="354" spans="1:16" x14ac:dyDescent="0.3">
      <c r="A354">
        <v>323</v>
      </c>
      <c r="B354" s="1">
        <v>40557</v>
      </c>
      <c r="C354">
        <v>1</v>
      </c>
      <c r="D354">
        <v>0</v>
      </c>
      <c r="E354">
        <v>1</v>
      </c>
      <c r="F354">
        <v>22</v>
      </c>
      <c r="G354" t="b">
        <v>0</v>
      </c>
      <c r="H354">
        <v>5</v>
      </c>
      <c r="I354">
        <v>2</v>
      </c>
      <c r="J354">
        <v>0.16</v>
      </c>
      <c r="K354">
        <v>0.2273</v>
      </c>
      <c r="L354">
        <v>0.69</v>
      </c>
      <c r="M354">
        <v>0</v>
      </c>
      <c r="N354">
        <v>2</v>
      </c>
      <c r="O354">
        <v>34</v>
      </c>
      <c r="P354">
        <v>36</v>
      </c>
    </row>
    <row r="355" spans="1:16" x14ac:dyDescent="0.3">
      <c r="A355">
        <v>554</v>
      </c>
      <c r="B355" s="1">
        <v>40568</v>
      </c>
      <c r="C355">
        <v>1</v>
      </c>
      <c r="D355">
        <v>0</v>
      </c>
      <c r="E355">
        <v>1</v>
      </c>
      <c r="F355">
        <v>6</v>
      </c>
      <c r="G355" t="b">
        <v>0</v>
      </c>
      <c r="H355">
        <v>2</v>
      </c>
      <c r="I355">
        <v>1</v>
      </c>
      <c r="J355">
        <v>0.16</v>
      </c>
      <c r="K355">
        <v>0.18179999999999999</v>
      </c>
      <c r="L355">
        <v>0.74</v>
      </c>
      <c r="M355">
        <v>0.1045</v>
      </c>
      <c r="N355">
        <v>1</v>
      </c>
      <c r="O355">
        <v>35</v>
      </c>
      <c r="P355">
        <v>36</v>
      </c>
    </row>
    <row r="356" spans="1:16" x14ac:dyDescent="0.3">
      <c r="A356">
        <v>584</v>
      </c>
      <c r="B356" s="1">
        <v>40569</v>
      </c>
      <c r="C356">
        <v>1</v>
      </c>
      <c r="D356">
        <v>0</v>
      </c>
      <c r="E356">
        <v>1</v>
      </c>
      <c r="F356">
        <v>14</v>
      </c>
      <c r="G356" t="b">
        <v>0</v>
      </c>
      <c r="H356">
        <v>3</v>
      </c>
      <c r="I356">
        <v>3</v>
      </c>
      <c r="J356">
        <v>0.22</v>
      </c>
      <c r="K356">
        <v>0.19700000000000001</v>
      </c>
      <c r="L356">
        <v>0.93</v>
      </c>
      <c r="M356">
        <v>0.35820000000000002</v>
      </c>
      <c r="N356">
        <v>0</v>
      </c>
      <c r="O356">
        <v>36</v>
      </c>
      <c r="P356">
        <v>36</v>
      </c>
    </row>
    <row r="357" spans="1:16" x14ac:dyDescent="0.3">
      <c r="A357">
        <v>586</v>
      </c>
      <c r="B357" s="1">
        <v>40569</v>
      </c>
      <c r="C357">
        <v>1</v>
      </c>
      <c r="D357">
        <v>0</v>
      </c>
      <c r="E357">
        <v>1</v>
      </c>
      <c r="F357">
        <v>16</v>
      </c>
      <c r="G357" t="b">
        <v>0</v>
      </c>
      <c r="H357">
        <v>3</v>
      </c>
      <c r="I357">
        <v>4</v>
      </c>
      <c r="J357">
        <v>0.22</v>
      </c>
      <c r="K357">
        <v>0.19700000000000001</v>
      </c>
      <c r="L357">
        <v>0.93</v>
      </c>
      <c r="M357">
        <v>0.32840000000000003</v>
      </c>
      <c r="N357">
        <v>1</v>
      </c>
      <c r="O357">
        <v>35</v>
      </c>
      <c r="P357">
        <v>36</v>
      </c>
    </row>
    <row r="358" spans="1:16" x14ac:dyDescent="0.3">
      <c r="A358">
        <v>19</v>
      </c>
      <c r="B358" s="1">
        <v>40544</v>
      </c>
      <c r="C358">
        <v>1</v>
      </c>
      <c r="D358">
        <v>0</v>
      </c>
      <c r="E358">
        <v>1</v>
      </c>
      <c r="F358">
        <v>18</v>
      </c>
      <c r="G358" t="b">
        <v>0</v>
      </c>
      <c r="H358">
        <v>6</v>
      </c>
      <c r="I358">
        <v>3</v>
      </c>
      <c r="J358">
        <v>0.42</v>
      </c>
      <c r="K358">
        <v>0.42420000000000002</v>
      </c>
      <c r="L358">
        <v>0.88</v>
      </c>
      <c r="M358">
        <v>0.25369999999999998</v>
      </c>
      <c r="N358">
        <v>9</v>
      </c>
      <c r="O358">
        <v>26</v>
      </c>
      <c r="P358">
        <v>35</v>
      </c>
    </row>
    <row r="359" spans="1:16" x14ac:dyDescent="0.3">
      <c r="A359">
        <v>91</v>
      </c>
      <c r="B359" s="1">
        <v>40547</v>
      </c>
      <c r="C359">
        <v>1</v>
      </c>
      <c r="D359">
        <v>0</v>
      </c>
      <c r="E359">
        <v>1</v>
      </c>
      <c r="F359">
        <v>22</v>
      </c>
      <c r="G359" t="b">
        <v>0</v>
      </c>
      <c r="H359">
        <v>2</v>
      </c>
      <c r="I359">
        <v>1</v>
      </c>
      <c r="J359">
        <v>0.22</v>
      </c>
      <c r="K359">
        <v>0.2576</v>
      </c>
      <c r="L359">
        <v>0.64</v>
      </c>
      <c r="M359">
        <v>8.9599999999999999E-2</v>
      </c>
      <c r="N359">
        <v>1</v>
      </c>
      <c r="O359">
        <v>34</v>
      </c>
      <c r="P359">
        <v>35</v>
      </c>
    </row>
    <row r="360" spans="1:16" x14ac:dyDescent="0.3">
      <c r="A360">
        <v>243</v>
      </c>
      <c r="B360" s="1">
        <v>40554</v>
      </c>
      <c r="C360">
        <v>1</v>
      </c>
      <c r="D360">
        <v>0</v>
      </c>
      <c r="E360">
        <v>1</v>
      </c>
      <c r="F360">
        <v>11</v>
      </c>
      <c r="G360" t="b">
        <v>0</v>
      </c>
      <c r="H360">
        <v>2</v>
      </c>
      <c r="I360">
        <v>2</v>
      </c>
      <c r="J360">
        <v>0.2</v>
      </c>
      <c r="K360">
        <v>0.21210000000000001</v>
      </c>
      <c r="L360">
        <v>0.47</v>
      </c>
      <c r="M360">
        <v>0.1343</v>
      </c>
      <c r="N360">
        <v>4</v>
      </c>
      <c r="O360">
        <v>31</v>
      </c>
      <c r="P360">
        <v>35</v>
      </c>
    </row>
    <row r="361" spans="1:16" x14ac:dyDescent="0.3">
      <c r="A361">
        <v>265</v>
      </c>
      <c r="B361" s="1">
        <v>40555</v>
      </c>
      <c r="C361">
        <v>1</v>
      </c>
      <c r="D361">
        <v>0</v>
      </c>
      <c r="E361">
        <v>1</v>
      </c>
      <c r="F361">
        <v>11</v>
      </c>
      <c r="G361" t="b">
        <v>0</v>
      </c>
      <c r="H361">
        <v>3</v>
      </c>
      <c r="I361">
        <v>1</v>
      </c>
      <c r="J361">
        <v>0.2</v>
      </c>
      <c r="K361">
        <v>0.18179999999999999</v>
      </c>
      <c r="L361">
        <v>0.51</v>
      </c>
      <c r="M361">
        <v>0.3881</v>
      </c>
      <c r="N361">
        <v>3</v>
      </c>
      <c r="O361">
        <v>32</v>
      </c>
      <c r="P361">
        <v>35</v>
      </c>
    </row>
    <row r="362" spans="1:16" x14ac:dyDescent="0.3">
      <c r="A362">
        <v>400</v>
      </c>
      <c r="B362" s="1">
        <v>40561</v>
      </c>
      <c r="C362">
        <v>1</v>
      </c>
      <c r="D362">
        <v>0</v>
      </c>
      <c r="E362">
        <v>1</v>
      </c>
      <c r="F362">
        <v>15</v>
      </c>
      <c r="G362" t="b">
        <v>0</v>
      </c>
      <c r="H362">
        <v>2</v>
      </c>
      <c r="I362">
        <v>2</v>
      </c>
      <c r="J362">
        <v>0.22</v>
      </c>
      <c r="K362">
        <v>0.2273</v>
      </c>
      <c r="L362">
        <v>0.87</v>
      </c>
      <c r="M362">
        <v>0.16420000000000001</v>
      </c>
      <c r="N362">
        <v>3</v>
      </c>
      <c r="O362">
        <v>32</v>
      </c>
      <c r="P362">
        <v>35</v>
      </c>
    </row>
    <row r="363" spans="1:16" x14ac:dyDescent="0.3">
      <c r="A363">
        <v>438</v>
      </c>
      <c r="B363" s="1">
        <v>40563</v>
      </c>
      <c r="C363">
        <v>1</v>
      </c>
      <c r="D363">
        <v>0</v>
      </c>
      <c r="E363">
        <v>1</v>
      </c>
      <c r="F363">
        <v>6</v>
      </c>
      <c r="G363" t="b">
        <v>0</v>
      </c>
      <c r="H363">
        <v>4</v>
      </c>
      <c r="I363">
        <v>1</v>
      </c>
      <c r="J363">
        <v>0.22</v>
      </c>
      <c r="K363">
        <v>0.21210000000000001</v>
      </c>
      <c r="L363">
        <v>0.6</v>
      </c>
      <c r="M363">
        <v>0.22389999999999999</v>
      </c>
      <c r="N363">
        <v>0</v>
      </c>
      <c r="O363">
        <v>35</v>
      </c>
      <c r="P363">
        <v>35</v>
      </c>
    </row>
    <row r="364" spans="1:16" x14ac:dyDescent="0.3">
      <c r="A364">
        <v>522</v>
      </c>
      <c r="B364" s="1">
        <v>40566</v>
      </c>
      <c r="C364">
        <v>1</v>
      </c>
      <c r="D364">
        <v>0</v>
      </c>
      <c r="E364">
        <v>1</v>
      </c>
      <c r="F364">
        <v>20</v>
      </c>
      <c r="G364" t="b">
        <v>0</v>
      </c>
      <c r="H364">
        <v>0</v>
      </c>
      <c r="I364">
        <v>1</v>
      </c>
      <c r="J364">
        <v>0.1</v>
      </c>
      <c r="K364">
        <v>0.1061</v>
      </c>
      <c r="L364">
        <v>0.36</v>
      </c>
      <c r="M364">
        <v>0.25369999999999998</v>
      </c>
      <c r="N364">
        <v>4</v>
      </c>
      <c r="O364">
        <v>31</v>
      </c>
      <c r="P364">
        <v>35</v>
      </c>
    </row>
    <row r="365" spans="1:16" x14ac:dyDescent="0.3">
      <c r="A365">
        <v>547</v>
      </c>
      <c r="B365" s="1">
        <v>40567</v>
      </c>
      <c r="C365">
        <v>1</v>
      </c>
      <c r="D365">
        <v>0</v>
      </c>
      <c r="E365">
        <v>1</v>
      </c>
      <c r="F365">
        <v>22</v>
      </c>
      <c r="G365" t="b">
        <v>0</v>
      </c>
      <c r="H365">
        <v>1</v>
      </c>
      <c r="I365">
        <v>2</v>
      </c>
      <c r="J365">
        <v>0.14000000000000001</v>
      </c>
      <c r="K365">
        <v>0.13639999999999999</v>
      </c>
      <c r="L365">
        <v>0.63</v>
      </c>
      <c r="M365">
        <v>0.22389999999999999</v>
      </c>
      <c r="N365">
        <v>3</v>
      </c>
      <c r="O365">
        <v>32</v>
      </c>
      <c r="P365">
        <v>35</v>
      </c>
    </row>
    <row r="366" spans="1:16" x14ac:dyDescent="0.3">
      <c r="A366">
        <v>22</v>
      </c>
      <c r="B366" s="1">
        <v>40544</v>
      </c>
      <c r="C366">
        <v>1</v>
      </c>
      <c r="D366">
        <v>0</v>
      </c>
      <c r="E366">
        <v>1</v>
      </c>
      <c r="F366">
        <v>21</v>
      </c>
      <c r="G366" t="b">
        <v>0</v>
      </c>
      <c r="H366">
        <v>6</v>
      </c>
      <c r="I366">
        <v>2</v>
      </c>
      <c r="J366">
        <v>0.4</v>
      </c>
      <c r="K366">
        <v>0.40910000000000002</v>
      </c>
      <c r="L366">
        <v>0.87</v>
      </c>
      <c r="M366">
        <v>0.19400000000000001</v>
      </c>
      <c r="N366">
        <v>3</v>
      </c>
      <c r="O366">
        <v>31</v>
      </c>
      <c r="P366">
        <v>34</v>
      </c>
    </row>
    <row r="367" spans="1:16" x14ac:dyDescent="0.3">
      <c r="A367">
        <v>144</v>
      </c>
      <c r="B367" s="1">
        <v>40550</v>
      </c>
      <c r="C367">
        <v>1</v>
      </c>
      <c r="D367">
        <v>0</v>
      </c>
      <c r="E367">
        <v>1</v>
      </c>
      <c r="F367">
        <v>6</v>
      </c>
      <c r="G367" t="b">
        <v>0</v>
      </c>
      <c r="H367">
        <v>5</v>
      </c>
      <c r="I367">
        <v>2</v>
      </c>
      <c r="J367">
        <v>0.2</v>
      </c>
      <c r="K367">
        <v>0.2576</v>
      </c>
      <c r="L367">
        <v>0.69</v>
      </c>
      <c r="M367">
        <v>0</v>
      </c>
      <c r="N367">
        <v>8</v>
      </c>
      <c r="O367">
        <v>26</v>
      </c>
      <c r="P367">
        <v>34</v>
      </c>
    </row>
    <row r="368" spans="1:16" x14ac:dyDescent="0.3">
      <c r="A368">
        <v>184</v>
      </c>
      <c r="B368" s="1">
        <v>40551</v>
      </c>
      <c r="C368">
        <v>1</v>
      </c>
      <c r="D368">
        <v>0</v>
      </c>
      <c r="E368">
        <v>1</v>
      </c>
      <c r="F368">
        <v>22</v>
      </c>
      <c r="G368" t="b">
        <v>0</v>
      </c>
      <c r="H368">
        <v>6</v>
      </c>
      <c r="I368">
        <v>1</v>
      </c>
      <c r="J368">
        <v>0.12</v>
      </c>
      <c r="K368">
        <v>0.1061</v>
      </c>
      <c r="L368">
        <v>0.36</v>
      </c>
      <c r="M368">
        <v>0.3881</v>
      </c>
      <c r="N368">
        <v>1</v>
      </c>
      <c r="O368">
        <v>33</v>
      </c>
      <c r="P368">
        <v>34</v>
      </c>
    </row>
    <row r="369" spans="1:16" x14ac:dyDescent="0.3">
      <c r="A369">
        <v>478</v>
      </c>
      <c r="B369" s="1">
        <v>40564</v>
      </c>
      <c r="C369">
        <v>1</v>
      </c>
      <c r="D369">
        <v>0</v>
      </c>
      <c r="E369">
        <v>1</v>
      </c>
      <c r="F369">
        <v>22</v>
      </c>
      <c r="G369" t="b">
        <v>0</v>
      </c>
      <c r="H369">
        <v>5</v>
      </c>
      <c r="I369">
        <v>1</v>
      </c>
      <c r="J369">
        <v>0.06</v>
      </c>
      <c r="K369">
        <v>3.0300000000000001E-2</v>
      </c>
      <c r="L369">
        <v>0.41</v>
      </c>
      <c r="M369">
        <v>0.3881</v>
      </c>
      <c r="N369">
        <v>1</v>
      </c>
      <c r="O369">
        <v>33</v>
      </c>
      <c r="P369">
        <v>34</v>
      </c>
    </row>
    <row r="370" spans="1:16" x14ac:dyDescent="0.3">
      <c r="A370">
        <v>98</v>
      </c>
      <c r="B370" s="1">
        <v>40548</v>
      </c>
      <c r="C370">
        <v>1</v>
      </c>
      <c r="D370">
        <v>0</v>
      </c>
      <c r="E370">
        <v>1</v>
      </c>
      <c r="F370">
        <v>6</v>
      </c>
      <c r="G370" t="b">
        <v>0</v>
      </c>
      <c r="H370">
        <v>3</v>
      </c>
      <c r="I370">
        <v>1</v>
      </c>
      <c r="J370">
        <v>0.2</v>
      </c>
      <c r="K370">
        <v>0.19700000000000001</v>
      </c>
      <c r="L370">
        <v>0.47</v>
      </c>
      <c r="M370">
        <v>0.22389999999999999</v>
      </c>
      <c r="N370">
        <v>0</v>
      </c>
      <c r="O370">
        <v>33</v>
      </c>
      <c r="P370">
        <v>33</v>
      </c>
    </row>
    <row r="371" spans="1:16" x14ac:dyDescent="0.3">
      <c r="A371">
        <v>276</v>
      </c>
      <c r="B371" s="1">
        <v>40555</v>
      </c>
      <c r="C371">
        <v>1</v>
      </c>
      <c r="D371">
        <v>0</v>
      </c>
      <c r="E371">
        <v>1</v>
      </c>
      <c r="F371">
        <v>22</v>
      </c>
      <c r="G371" t="b">
        <v>0</v>
      </c>
      <c r="H371">
        <v>3</v>
      </c>
      <c r="I371">
        <v>1</v>
      </c>
      <c r="J371">
        <v>0.16</v>
      </c>
      <c r="K371">
        <v>0.1212</v>
      </c>
      <c r="L371">
        <v>0.55000000000000004</v>
      </c>
      <c r="M371">
        <v>0.44779999999999998</v>
      </c>
      <c r="N371">
        <v>1</v>
      </c>
      <c r="O371">
        <v>32</v>
      </c>
      <c r="P371">
        <v>33</v>
      </c>
    </row>
    <row r="372" spans="1:16" x14ac:dyDescent="0.3">
      <c r="A372">
        <v>334</v>
      </c>
      <c r="B372" s="1">
        <v>40558</v>
      </c>
      <c r="C372">
        <v>1</v>
      </c>
      <c r="D372">
        <v>0</v>
      </c>
      <c r="E372">
        <v>1</v>
      </c>
      <c r="F372">
        <v>9</v>
      </c>
      <c r="G372" t="b">
        <v>0</v>
      </c>
      <c r="H372">
        <v>6</v>
      </c>
      <c r="I372">
        <v>1</v>
      </c>
      <c r="J372">
        <v>0.16</v>
      </c>
      <c r="K372">
        <v>0.18179999999999999</v>
      </c>
      <c r="L372">
        <v>0.64</v>
      </c>
      <c r="M372">
        <v>0.1343</v>
      </c>
      <c r="N372">
        <v>2</v>
      </c>
      <c r="O372">
        <v>31</v>
      </c>
      <c r="P372">
        <v>33</v>
      </c>
    </row>
    <row r="373" spans="1:16" x14ac:dyDescent="0.3">
      <c r="A373">
        <v>381</v>
      </c>
      <c r="B373" s="1">
        <v>40560</v>
      </c>
      <c r="C373">
        <v>1</v>
      </c>
      <c r="D373">
        <v>0</v>
      </c>
      <c r="E373">
        <v>1</v>
      </c>
      <c r="F373">
        <v>8</v>
      </c>
      <c r="G373" t="b">
        <v>1</v>
      </c>
      <c r="H373">
        <v>1</v>
      </c>
      <c r="I373">
        <v>2</v>
      </c>
      <c r="J373">
        <v>0.16</v>
      </c>
      <c r="K373">
        <v>0.1515</v>
      </c>
      <c r="L373">
        <v>0.47</v>
      </c>
      <c r="M373">
        <v>0.22389999999999999</v>
      </c>
      <c r="N373">
        <v>3</v>
      </c>
      <c r="O373">
        <v>30</v>
      </c>
      <c r="P373">
        <v>33</v>
      </c>
    </row>
    <row r="374" spans="1:16" x14ac:dyDescent="0.3">
      <c r="A374">
        <v>393</v>
      </c>
      <c r="B374" s="1">
        <v>40560</v>
      </c>
      <c r="C374">
        <v>1</v>
      </c>
      <c r="D374">
        <v>0</v>
      </c>
      <c r="E374">
        <v>1</v>
      </c>
      <c r="F374">
        <v>20</v>
      </c>
      <c r="G374" t="b">
        <v>1</v>
      </c>
      <c r="H374">
        <v>1</v>
      </c>
      <c r="I374">
        <v>3</v>
      </c>
      <c r="J374">
        <v>0.16</v>
      </c>
      <c r="K374">
        <v>0.1515</v>
      </c>
      <c r="L374">
        <v>0.8</v>
      </c>
      <c r="M374">
        <v>0.19400000000000001</v>
      </c>
      <c r="N374">
        <v>4</v>
      </c>
      <c r="O374">
        <v>29</v>
      </c>
      <c r="P374">
        <v>33</v>
      </c>
    </row>
    <row r="375" spans="1:16" x14ac:dyDescent="0.3">
      <c r="A375">
        <v>407</v>
      </c>
      <c r="B375" s="1">
        <v>40561</v>
      </c>
      <c r="C375">
        <v>1</v>
      </c>
      <c r="D375">
        <v>0</v>
      </c>
      <c r="E375">
        <v>1</v>
      </c>
      <c r="F375">
        <v>22</v>
      </c>
      <c r="G375" t="b">
        <v>0</v>
      </c>
      <c r="H375">
        <v>2</v>
      </c>
      <c r="I375">
        <v>2</v>
      </c>
      <c r="J375">
        <v>0.22</v>
      </c>
      <c r="K375">
        <v>0.2576</v>
      </c>
      <c r="L375">
        <v>0.93</v>
      </c>
      <c r="M375">
        <v>8.9599999999999999E-2</v>
      </c>
      <c r="N375">
        <v>0</v>
      </c>
      <c r="O375">
        <v>33</v>
      </c>
      <c r="P375">
        <v>33</v>
      </c>
    </row>
    <row r="376" spans="1:16" x14ac:dyDescent="0.3">
      <c r="A376">
        <v>502</v>
      </c>
      <c r="B376" s="1">
        <v>40565</v>
      </c>
      <c r="C376">
        <v>1</v>
      </c>
      <c r="D376">
        <v>0</v>
      </c>
      <c r="E376">
        <v>1</v>
      </c>
      <c r="F376">
        <v>23</v>
      </c>
      <c r="G376" t="b">
        <v>0</v>
      </c>
      <c r="H376">
        <v>6</v>
      </c>
      <c r="I376">
        <v>1</v>
      </c>
      <c r="J376">
        <v>0.04</v>
      </c>
      <c r="K376">
        <v>7.5800000000000006E-2</v>
      </c>
      <c r="L376">
        <v>0.56999999999999995</v>
      </c>
      <c r="M376">
        <v>0.1045</v>
      </c>
      <c r="N376">
        <v>2</v>
      </c>
      <c r="O376">
        <v>31</v>
      </c>
      <c r="P376">
        <v>33</v>
      </c>
    </row>
    <row r="377" spans="1:16" x14ac:dyDescent="0.3">
      <c r="A377">
        <v>3</v>
      </c>
      <c r="B377" s="1">
        <v>40544</v>
      </c>
      <c r="C377">
        <v>1</v>
      </c>
      <c r="D377">
        <v>0</v>
      </c>
      <c r="E377">
        <v>1</v>
      </c>
      <c r="F377">
        <v>2</v>
      </c>
      <c r="G377" t="b">
        <v>0</v>
      </c>
      <c r="H377">
        <v>6</v>
      </c>
      <c r="I377">
        <v>1</v>
      </c>
      <c r="J377">
        <v>0.22</v>
      </c>
      <c r="K377">
        <v>0.2727</v>
      </c>
      <c r="L377">
        <v>0.8</v>
      </c>
      <c r="M377">
        <v>0</v>
      </c>
      <c r="N377">
        <v>5</v>
      </c>
      <c r="O377">
        <v>27</v>
      </c>
      <c r="P377">
        <v>32</v>
      </c>
    </row>
    <row r="378" spans="1:16" x14ac:dyDescent="0.3">
      <c r="A378">
        <v>252</v>
      </c>
      <c r="B378" s="1">
        <v>40554</v>
      </c>
      <c r="C378">
        <v>1</v>
      </c>
      <c r="D378">
        <v>0</v>
      </c>
      <c r="E378">
        <v>1</v>
      </c>
      <c r="F378">
        <v>20</v>
      </c>
      <c r="G378" t="b">
        <v>0</v>
      </c>
      <c r="H378">
        <v>2</v>
      </c>
      <c r="I378">
        <v>3</v>
      </c>
      <c r="J378">
        <v>0.16</v>
      </c>
      <c r="K378">
        <v>0.1515</v>
      </c>
      <c r="L378">
        <v>0.93</v>
      </c>
      <c r="M378">
        <v>0.19400000000000001</v>
      </c>
      <c r="N378">
        <v>0</v>
      </c>
      <c r="O378">
        <v>32</v>
      </c>
      <c r="P378">
        <v>32</v>
      </c>
    </row>
    <row r="379" spans="1:16" x14ac:dyDescent="0.3">
      <c r="A379">
        <v>358</v>
      </c>
      <c r="B379" s="1">
        <v>40559</v>
      </c>
      <c r="C379">
        <v>1</v>
      </c>
      <c r="D379">
        <v>0</v>
      </c>
      <c r="E379">
        <v>1</v>
      </c>
      <c r="F379">
        <v>9</v>
      </c>
      <c r="G379" t="b">
        <v>0</v>
      </c>
      <c r="H379">
        <v>0</v>
      </c>
      <c r="I379">
        <v>1</v>
      </c>
      <c r="J379">
        <v>0.22</v>
      </c>
      <c r="K379">
        <v>0.21210000000000001</v>
      </c>
      <c r="L379">
        <v>0.51</v>
      </c>
      <c r="M379">
        <v>0.25369999999999998</v>
      </c>
      <c r="N379">
        <v>3</v>
      </c>
      <c r="O379">
        <v>29</v>
      </c>
      <c r="P379">
        <v>32</v>
      </c>
    </row>
    <row r="380" spans="1:16" x14ac:dyDescent="0.3">
      <c r="A380">
        <v>414</v>
      </c>
      <c r="B380" s="1">
        <v>40562</v>
      </c>
      <c r="C380">
        <v>1</v>
      </c>
      <c r="D380">
        <v>0</v>
      </c>
      <c r="E380">
        <v>1</v>
      </c>
      <c r="F380">
        <v>6</v>
      </c>
      <c r="G380" t="b">
        <v>0</v>
      </c>
      <c r="H380">
        <v>3</v>
      </c>
      <c r="I380">
        <v>2</v>
      </c>
      <c r="J380">
        <v>0.22</v>
      </c>
      <c r="K380">
        <v>0.2576</v>
      </c>
      <c r="L380">
        <v>0.93</v>
      </c>
      <c r="M380">
        <v>8.9599999999999999E-2</v>
      </c>
      <c r="N380">
        <v>0</v>
      </c>
      <c r="O380">
        <v>32</v>
      </c>
      <c r="P380">
        <v>32</v>
      </c>
    </row>
    <row r="381" spans="1:16" x14ac:dyDescent="0.3">
      <c r="A381">
        <v>45</v>
      </c>
      <c r="B381" s="1">
        <v>40545</v>
      </c>
      <c r="C381">
        <v>1</v>
      </c>
      <c r="D381">
        <v>0</v>
      </c>
      <c r="E381">
        <v>1</v>
      </c>
      <c r="F381">
        <v>21</v>
      </c>
      <c r="G381" t="b">
        <v>0</v>
      </c>
      <c r="H381">
        <v>0</v>
      </c>
      <c r="I381">
        <v>1</v>
      </c>
      <c r="J381">
        <v>0.26</v>
      </c>
      <c r="K381">
        <v>0.2273</v>
      </c>
      <c r="L381">
        <v>0.44</v>
      </c>
      <c r="M381">
        <v>0.32840000000000003</v>
      </c>
      <c r="N381">
        <v>11</v>
      </c>
      <c r="O381">
        <v>20</v>
      </c>
      <c r="P381">
        <v>31</v>
      </c>
    </row>
    <row r="382" spans="1:16" x14ac:dyDescent="0.3">
      <c r="A382">
        <v>216</v>
      </c>
      <c r="B382" s="1">
        <v>40553</v>
      </c>
      <c r="C382">
        <v>1</v>
      </c>
      <c r="D382">
        <v>0</v>
      </c>
      <c r="E382">
        <v>1</v>
      </c>
      <c r="F382">
        <v>6</v>
      </c>
      <c r="G382" t="b">
        <v>0</v>
      </c>
      <c r="H382">
        <v>1</v>
      </c>
      <c r="I382">
        <v>1</v>
      </c>
      <c r="J382">
        <v>0.12</v>
      </c>
      <c r="K382">
        <v>0.1212</v>
      </c>
      <c r="L382">
        <v>0.5</v>
      </c>
      <c r="M382">
        <v>0.28360000000000002</v>
      </c>
      <c r="N382">
        <v>0</v>
      </c>
      <c r="O382">
        <v>31</v>
      </c>
      <c r="P382">
        <v>31</v>
      </c>
    </row>
    <row r="383" spans="1:16" x14ac:dyDescent="0.3">
      <c r="A383">
        <v>220</v>
      </c>
      <c r="B383" s="1">
        <v>40553</v>
      </c>
      <c r="C383">
        <v>1</v>
      </c>
      <c r="D383">
        <v>0</v>
      </c>
      <c r="E383">
        <v>1</v>
      </c>
      <c r="F383">
        <v>10</v>
      </c>
      <c r="G383" t="b">
        <v>0</v>
      </c>
      <c r="H383">
        <v>1</v>
      </c>
      <c r="I383">
        <v>2</v>
      </c>
      <c r="J383">
        <v>0.14000000000000001</v>
      </c>
      <c r="K383">
        <v>0.1212</v>
      </c>
      <c r="L383">
        <v>0.5</v>
      </c>
      <c r="M383">
        <v>0.29849999999999999</v>
      </c>
      <c r="N383">
        <v>0</v>
      </c>
      <c r="O383">
        <v>31</v>
      </c>
      <c r="P383">
        <v>31</v>
      </c>
    </row>
    <row r="384" spans="1:16" x14ac:dyDescent="0.3">
      <c r="A384">
        <v>455</v>
      </c>
      <c r="B384" s="1">
        <v>40563</v>
      </c>
      <c r="C384">
        <v>1</v>
      </c>
      <c r="D384">
        <v>0</v>
      </c>
      <c r="E384">
        <v>1</v>
      </c>
      <c r="F384">
        <v>23</v>
      </c>
      <c r="G384" t="b">
        <v>0</v>
      </c>
      <c r="H384">
        <v>4</v>
      </c>
      <c r="I384">
        <v>2</v>
      </c>
      <c r="J384">
        <v>0.24</v>
      </c>
      <c r="K384">
        <v>0.21210000000000001</v>
      </c>
      <c r="L384">
        <v>0.65</v>
      </c>
      <c r="M384">
        <v>0.32840000000000003</v>
      </c>
      <c r="N384">
        <v>3</v>
      </c>
      <c r="O384">
        <v>28</v>
      </c>
      <c r="P384">
        <v>31</v>
      </c>
    </row>
    <row r="385" spans="1:16" x14ac:dyDescent="0.3">
      <c r="A385">
        <v>608</v>
      </c>
      <c r="B385" s="1">
        <v>40571</v>
      </c>
      <c r="C385">
        <v>1</v>
      </c>
      <c r="D385">
        <v>0</v>
      </c>
      <c r="E385">
        <v>1</v>
      </c>
      <c r="F385">
        <v>13</v>
      </c>
      <c r="G385" t="b">
        <v>0</v>
      </c>
      <c r="H385">
        <v>5</v>
      </c>
      <c r="I385">
        <v>3</v>
      </c>
      <c r="J385">
        <v>0.18</v>
      </c>
      <c r="K385">
        <v>0.21210000000000001</v>
      </c>
      <c r="L385">
        <v>0.93</v>
      </c>
      <c r="M385">
        <v>0.1045</v>
      </c>
      <c r="N385">
        <v>0</v>
      </c>
      <c r="O385">
        <v>31</v>
      </c>
      <c r="P385">
        <v>31</v>
      </c>
    </row>
    <row r="386" spans="1:16" x14ac:dyDescent="0.3">
      <c r="A386">
        <v>43</v>
      </c>
      <c r="B386" s="1">
        <v>40545</v>
      </c>
      <c r="C386">
        <v>1</v>
      </c>
      <c r="D386">
        <v>0</v>
      </c>
      <c r="E386">
        <v>1</v>
      </c>
      <c r="F386">
        <v>19</v>
      </c>
      <c r="G386" t="b">
        <v>0</v>
      </c>
      <c r="H386">
        <v>0</v>
      </c>
      <c r="I386">
        <v>1</v>
      </c>
      <c r="J386">
        <v>0.32</v>
      </c>
      <c r="K386">
        <v>0.28789999999999999</v>
      </c>
      <c r="L386">
        <v>0.42</v>
      </c>
      <c r="M386">
        <v>0.44779999999999998</v>
      </c>
      <c r="N386">
        <v>1</v>
      </c>
      <c r="O386">
        <v>29</v>
      </c>
      <c r="P386">
        <v>30</v>
      </c>
    </row>
    <row r="387" spans="1:16" x14ac:dyDescent="0.3">
      <c r="A387">
        <v>52</v>
      </c>
      <c r="B387" s="1">
        <v>40546</v>
      </c>
      <c r="C387">
        <v>1</v>
      </c>
      <c r="D387">
        <v>0</v>
      </c>
      <c r="E387">
        <v>1</v>
      </c>
      <c r="F387">
        <v>6</v>
      </c>
      <c r="G387" t="b">
        <v>0</v>
      </c>
      <c r="H387">
        <v>1</v>
      </c>
      <c r="I387">
        <v>1</v>
      </c>
      <c r="J387">
        <v>0.14000000000000001</v>
      </c>
      <c r="K387">
        <v>0.1061</v>
      </c>
      <c r="L387">
        <v>0.5</v>
      </c>
      <c r="M387">
        <v>0.3881</v>
      </c>
      <c r="N387">
        <v>0</v>
      </c>
      <c r="O387">
        <v>30</v>
      </c>
      <c r="P387">
        <v>30</v>
      </c>
    </row>
    <row r="388" spans="1:16" x14ac:dyDescent="0.3">
      <c r="A388">
        <v>181</v>
      </c>
      <c r="B388" s="1">
        <v>40551</v>
      </c>
      <c r="C388">
        <v>1</v>
      </c>
      <c r="D388">
        <v>0</v>
      </c>
      <c r="E388">
        <v>1</v>
      </c>
      <c r="F388">
        <v>19</v>
      </c>
      <c r="G388" t="b">
        <v>0</v>
      </c>
      <c r="H388">
        <v>6</v>
      </c>
      <c r="I388">
        <v>1</v>
      </c>
      <c r="J388">
        <v>0.14000000000000001</v>
      </c>
      <c r="K388">
        <v>0.1212</v>
      </c>
      <c r="L388">
        <v>0.36</v>
      </c>
      <c r="M388">
        <v>0.25369999999999998</v>
      </c>
      <c r="N388">
        <v>4</v>
      </c>
      <c r="O388">
        <v>26</v>
      </c>
      <c r="P388">
        <v>30</v>
      </c>
    </row>
    <row r="389" spans="1:16" x14ac:dyDescent="0.3">
      <c r="A389">
        <v>221</v>
      </c>
      <c r="B389" s="1">
        <v>40553</v>
      </c>
      <c r="C389">
        <v>1</v>
      </c>
      <c r="D389">
        <v>0</v>
      </c>
      <c r="E389">
        <v>1</v>
      </c>
      <c r="F389">
        <v>11</v>
      </c>
      <c r="G389" t="b">
        <v>0</v>
      </c>
      <c r="H389">
        <v>1</v>
      </c>
      <c r="I389">
        <v>2</v>
      </c>
      <c r="J389">
        <v>0.16</v>
      </c>
      <c r="K389">
        <v>0.13639999999999999</v>
      </c>
      <c r="L389">
        <v>0.47</v>
      </c>
      <c r="M389">
        <v>0.28360000000000002</v>
      </c>
      <c r="N389">
        <v>2</v>
      </c>
      <c r="O389">
        <v>28</v>
      </c>
      <c r="P389">
        <v>30</v>
      </c>
    </row>
    <row r="390" spans="1:16" x14ac:dyDescent="0.3">
      <c r="A390">
        <v>300</v>
      </c>
      <c r="B390" s="1">
        <v>40556</v>
      </c>
      <c r="C390">
        <v>1</v>
      </c>
      <c r="D390">
        <v>0</v>
      </c>
      <c r="E390">
        <v>1</v>
      </c>
      <c r="F390">
        <v>22</v>
      </c>
      <c r="G390" t="b">
        <v>0</v>
      </c>
      <c r="H390">
        <v>4</v>
      </c>
      <c r="I390">
        <v>1</v>
      </c>
      <c r="J390">
        <v>0.14000000000000001</v>
      </c>
      <c r="K390">
        <v>0.1212</v>
      </c>
      <c r="L390">
        <v>0.46</v>
      </c>
      <c r="M390">
        <v>0.32840000000000003</v>
      </c>
      <c r="N390">
        <v>0</v>
      </c>
      <c r="O390">
        <v>30</v>
      </c>
      <c r="P390">
        <v>30</v>
      </c>
    </row>
    <row r="391" spans="1:16" x14ac:dyDescent="0.3">
      <c r="A391">
        <v>501</v>
      </c>
      <c r="B391" s="1">
        <v>40565</v>
      </c>
      <c r="C391">
        <v>1</v>
      </c>
      <c r="D391">
        <v>0</v>
      </c>
      <c r="E391">
        <v>1</v>
      </c>
      <c r="F391">
        <v>22</v>
      </c>
      <c r="G391" t="b">
        <v>0</v>
      </c>
      <c r="H391">
        <v>6</v>
      </c>
      <c r="I391">
        <v>1</v>
      </c>
      <c r="J391">
        <v>0.06</v>
      </c>
      <c r="K391">
        <v>0.1515</v>
      </c>
      <c r="L391">
        <v>0.49</v>
      </c>
      <c r="M391">
        <v>0</v>
      </c>
      <c r="N391">
        <v>7</v>
      </c>
      <c r="O391">
        <v>23</v>
      </c>
      <c r="P391">
        <v>30</v>
      </c>
    </row>
    <row r="392" spans="1:16" x14ac:dyDescent="0.3">
      <c r="A392">
        <v>577</v>
      </c>
      <c r="B392" s="1">
        <v>40569</v>
      </c>
      <c r="C392">
        <v>1</v>
      </c>
      <c r="D392">
        <v>0</v>
      </c>
      <c r="E392">
        <v>1</v>
      </c>
      <c r="F392">
        <v>7</v>
      </c>
      <c r="G392" t="b">
        <v>0</v>
      </c>
      <c r="H392">
        <v>3</v>
      </c>
      <c r="I392">
        <v>3</v>
      </c>
      <c r="J392">
        <v>0.22</v>
      </c>
      <c r="K392">
        <v>0.21210000000000001</v>
      </c>
      <c r="L392">
        <v>0.87</v>
      </c>
      <c r="M392">
        <v>0.29849999999999999</v>
      </c>
      <c r="N392">
        <v>1</v>
      </c>
      <c r="O392">
        <v>29</v>
      </c>
      <c r="P392">
        <v>30</v>
      </c>
    </row>
    <row r="393" spans="1:16" x14ac:dyDescent="0.3">
      <c r="A393">
        <v>606</v>
      </c>
      <c r="B393" s="1">
        <v>40571</v>
      </c>
      <c r="C393">
        <v>1</v>
      </c>
      <c r="D393">
        <v>0</v>
      </c>
      <c r="E393">
        <v>1</v>
      </c>
      <c r="F393">
        <v>11</v>
      </c>
      <c r="G393" t="b">
        <v>0</v>
      </c>
      <c r="H393">
        <v>5</v>
      </c>
      <c r="I393">
        <v>3</v>
      </c>
      <c r="J393">
        <v>0.18</v>
      </c>
      <c r="K393">
        <v>0.21210000000000001</v>
      </c>
      <c r="L393">
        <v>0.93</v>
      </c>
      <c r="M393">
        <v>0.1045</v>
      </c>
      <c r="N393">
        <v>0</v>
      </c>
      <c r="O393">
        <v>30</v>
      </c>
      <c r="P393">
        <v>30</v>
      </c>
    </row>
    <row r="394" spans="1:16" x14ac:dyDescent="0.3">
      <c r="A394">
        <v>254</v>
      </c>
      <c r="B394" s="1">
        <v>40554</v>
      </c>
      <c r="C394">
        <v>1</v>
      </c>
      <c r="D394">
        <v>0</v>
      </c>
      <c r="E394">
        <v>1</v>
      </c>
      <c r="F394">
        <v>22</v>
      </c>
      <c r="G394" t="b">
        <v>0</v>
      </c>
      <c r="H394">
        <v>2</v>
      </c>
      <c r="I394">
        <v>3</v>
      </c>
      <c r="J394">
        <v>0.16</v>
      </c>
      <c r="K394">
        <v>0.18179999999999999</v>
      </c>
      <c r="L394">
        <v>0.93</v>
      </c>
      <c r="M394">
        <v>0.1045</v>
      </c>
      <c r="N394">
        <v>1</v>
      </c>
      <c r="O394">
        <v>28</v>
      </c>
      <c r="P394">
        <v>29</v>
      </c>
    </row>
    <row r="395" spans="1:16" x14ac:dyDescent="0.3">
      <c r="A395">
        <v>607</v>
      </c>
      <c r="B395" s="1">
        <v>40571</v>
      </c>
      <c r="C395">
        <v>1</v>
      </c>
      <c r="D395">
        <v>0</v>
      </c>
      <c r="E395">
        <v>1</v>
      </c>
      <c r="F395">
        <v>12</v>
      </c>
      <c r="G395" t="b">
        <v>0</v>
      </c>
      <c r="H395">
        <v>5</v>
      </c>
      <c r="I395">
        <v>3</v>
      </c>
      <c r="J395">
        <v>0.18</v>
      </c>
      <c r="K395">
        <v>0.21210000000000001</v>
      </c>
      <c r="L395">
        <v>0.93</v>
      </c>
      <c r="M395">
        <v>0.1045</v>
      </c>
      <c r="N395">
        <v>1</v>
      </c>
      <c r="O395">
        <v>28</v>
      </c>
      <c r="P395">
        <v>29</v>
      </c>
    </row>
    <row r="396" spans="1:16" x14ac:dyDescent="0.3">
      <c r="A396">
        <v>23</v>
      </c>
      <c r="B396" s="1">
        <v>40544</v>
      </c>
      <c r="C396">
        <v>1</v>
      </c>
      <c r="D396">
        <v>0</v>
      </c>
      <c r="E396">
        <v>1</v>
      </c>
      <c r="F396">
        <v>22</v>
      </c>
      <c r="G396" t="b">
        <v>0</v>
      </c>
      <c r="H396">
        <v>6</v>
      </c>
      <c r="I396">
        <v>2</v>
      </c>
      <c r="J396">
        <v>0.4</v>
      </c>
      <c r="K396">
        <v>0.40910000000000002</v>
      </c>
      <c r="L396">
        <v>0.94</v>
      </c>
      <c r="M396">
        <v>0.22389999999999999</v>
      </c>
      <c r="N396">
        <v>11</v>
      </c>
      <c r="O396">
        <v>17</v>
      </c>
      <c r="P396">
        <v>28</v>
      </c>
    </row>
    <row r="397" spans="1:16" x14ac:dyDescent="0.3">
      <c r="A397">
        <v>182</v>
      </c>
      <c r="B397" s="1">
        <v>40551</v>
      </c>
      <c r="C397">
        <v>1</v>
      </c>
      <c r="D397">
        <v>0</v>
      </c>
      <c r="E397">
        <v>1</v>
      </c>
      <c r="F397">
        <v>20</v>
      </c>
      <c r="G397" t="b">
        <v>0</v>
      </c>
      <c r="H397">
        <v>6</v>
      </c>
      <c r="I397">
        <v>1</v>
      </c>
      <c r="J397">
        <v>0.12</v>
      </c>
      <c r="K397">
        <v>0.1212</v>
      </c>
      <c r="L397">
        <v>0.36</v>
      </c>
      <c r="M397">
        <v>0.25369999999999998</v>
      </c>
      <c r="N397">
        <v>0</v>
      </c>
      <c r="O397">
        <v>28</v>
      </c>
      <c r="P397">
        <v>28</v>
      </c>
    </row>
    <row r="398" spans="1:16" x14ac:dyDescent="0.3">
      <c r="A398">
        <v>284</v>
      </c>
      <c r="B398" s="1">
        <v>40556</v>
      </c>
      <c r="C398">
        <v>1</v>
      </c>
      <c r="D398">
        <v>0</v>
      </c>
      <c r="E398">
        <v>1</v>
      </c>
      <c r="F398">
        <v>6</v>
      </c>
      <c r="G398" t="b">
        <v>0</v>
      </c>
      <c r="H398">
        <v>4</v>
      </c>
      <c r="I398">
        <v>1</v>
      </c>
      <c r="J398">
        <v>0.12</v>
      </c>
      <c r="K398">
        <v>0.1515</v>
      </c>
      <c r="L398">
        <v>0.54</v>
      </c>
      <c r="M398">
        <v>0.1343</v>
      </c>
      <c r="N398">
        <v>0</v>
      </c>
      <c r="O398">
        <v>28</v>
      </c>
      <c r="P398">
        <v>28</v>
      </c>
    </row>
    <row r="399" spans="1:16" x14ac:dyDescent="0.3">
      <c r="A399">
        <v>325</v>
      </c>
      <c r="B399" s="1">
        <v>40558</v>
      </c>
      <c r="C399">
        <v>1</v>
      </c>
      <c r="D399">
        <v>0</v>
      </c>
      <c r="E399">
        <v>1</v>
      </c>
      <c r="F399">
        <v>0</v>
      </c>
      <c r="G399" t="b">
        <v>0</v>
      </c>
      <c r="H399">
        <v>6</v>
      </c>
      <c r="I399">
        <v>1</v>
      </c>
      <c r="J399">
        <v>0.18</v>
      </c>
      <c r="K399">
        <v>0.2424</v>
      </c>
      <c r="L399">
        <v>0.55000000000000004</v>
      </c>
      <c r="M399">
        <v>0</v>
      </c>
      <c r="N399">
        <v>3</v>
      </c>
      <c r="O399">
        <v>25</v>
      </c>
      <c r="P399">
        <v>28</v>
      </c>
    </row>
    <row r="400" spans="1:16" x14ac:dyDescent="0.3">
      <c r="A400">
        <v>370</v>
      </c>
      <c r="B400" s="1">
        <v>40559</v>
      </c>
      <c r="C400">
        <v>1</v>
      </c>
      <c r="D400">
        <v>0</v>
      </c>
      <c r="E400">
        <v>1</v>
      </c>
      <c r="F400">
        <v>21</v>
      </c>
      <c r="G400" t="b">
        <v>0</v>
      </c>
      <c r="H400">
        <v>0</v>
      </c>
      <c r="I400">
        <v>1</v>
      </c>
      <c r="J400">
        <v>0.18</v>
      </c>
      <c r="K400">
        <v>0.19700000000000001</v>
      </c>
      <c r="L400">
        <v>0.51</v>
      </c>
      <c r="M400">
        <v>0.16420000000000001</v>
      </c>
      <c r="N400">
        <v>6</v>
      </c>
      <c r="O400">
        <v>22</v>
      </c>
      <c r="P400">
        <v>28</v>
      </c>
    </row>
    <row r="401" spans="1:16" x14ac:dyDescent="0.3">
      <c r="A401">
        <v>399</v>
      </c>
      <c r="B401" s="1">
        <v>40561</v>
      </c>
      <c r="C401">
        <v>1</v>
      </c>
      <c r="D401">
        <v>0</v>
      </c>
      <c r="E401">
        <v>1</v>
      </c>
      <c r="F401">
        <v>14</v>
      </c>
      <c r="G401" t="b">
        <v>0</v>
      </c>
      <c r="H401">
        <v>2</v>
      </c>
      <c r="I401">
        <v>2</v>
      </c>
      <c r="J401">
        <v>0.22</v>
      </c>
      <c r="K401">
        <v>0.2273</v>
      </c>
      <c r="L401">
        <v>0.8</v>
      </c>
      <c r="M401">
        <v>0.16420000000000001</v>
      </c>
      <c r="N401">
        <v>2</v>
      </c>
      <c r="O401">
        <v>26</v>
      </c>
      <c r="P401">
        <v>28</v>
      </c>
    </row>
    <row r="402" spans="1:16" x14ac:dyDescent="0.3">
      <c r="A402">
        <v>431</v>
      </c>
      <c r="B402" s="1">
        <v>40562</v>
      </c>
      <c r="C402">
        <v>1</v>
      </c>
      <c r="D402">
        <v>0</v>
      </c>
      <c r="E402">
        <v>1</v>
      </c>
      <c r="F402">
        <v>23</v>
      </c>
      <c r="G402" t="b">
        <v>0</v>
      </c>
      <c r="H402">
        <v>3</v>
      </c>
      <c r="I402">
        <v>1</v>
      </c>
      <c r="J402">
        <v>0.3</v>
      </c>
      <c r="K402">
        <v>0.2727</v>
      </c>
      <c r="L402">
        <v>0.52</v>
      </c>
      <c r="M402">
        <v>0.4627</v>
      </c>
      <c r="N402">
        <v>1</v>
      </c>
      <c r="O402">
        <v>27</v>
      </c>
      <c r="P402">
        <v>28</v>
      </c>
    </row>
    <row r="403" spans="1:16" x14ac:dyDescent="0.3">
      <c r="A403">
        <v>511</v>
      </c>
      <c r="B403" s="1">
        <v>40566</v>
      </c>
      <c r="C403">
        <v>1</v>
      </c>
      <c r="D403">
        <v>0</v>
      </c>
      <c r="E403">
        <v>1</v>
      </c>
      <c r="F403">
        <v>9</v>
      </c>
      <c r="G403" t="b">
        <v>0</v>
      </c>
      <c r="H403">
        <v>0</v>
      </c>
      <c r="I403">
        <v>1</v>
      </c>
      <c r="J403">
        <v>0.1</v>
      </c>
      <c r="K403">
        <v>7.5800000000000006E-2</v>
      </c>
      <c r="L403">
        <v>0.54</v>
      </c>
      <c r="M403">
        <v>0.35820000000000002</v>
      </c>
      <c r="N403">
        <v>3</v>
      </c>
      <c r="O403">
        <v>25</v>
      </c>
      <c r="P403">
        <v>28</v>
      </c>
    </row>
    <row r="404" spans="1:16" x14ac:dyDescent="0.3">
      <c r="A404">
        <v>524</v>
      </c>
      <c r="B404" s="1">
        <v>40566</v>
      </c>
      <c r="C404">
        <v>1</v>
      </c>
      <c r="D404">
        <v>0</v>
      </c>
      <c r="E404">
        <v>1</v>
      </c>
      <c r="F404">
        <v>22</v>
      </c>
      <c r="G404" t="b">
        <v>0</v>
      </c>
      <c r="H404">
        <v>0</v>
      </c>
      <c r="I404">
        <v>1</v>
      </c>
      <c r="J404">
        <v>0.08</v>
      </c>
      <c r="K404">
        <v>9.0899999999999995E-2</v>
      </c>
      <c r="L404">
        <v>0.38</v>
      </c>
      <c r="M404">
        <v>0.19400000000000001</v>
      </c>
      <c r="N404">
        <v>5</v>
      </c>
      <c r="O404">
        <v>23</v>
      </c>
      <c r="P404">
        <v>28</v>
      </c>
    </row>
    <row r="405" spans="1:16" x14ac:dyDescent="0.3">
      <c r="A405">
        <v>580</v>
      </c>
      <c r="B405" s="1">
        <v>40569</v>
      </c>
      <c r="C405">
        <v>1</v>
      </c>
      <c r="D405">
        <v>0</v>
      </c>
      <c r="E405">
        <v>1</v>
      </c>
      <c r="F405">
        <v>10</v>
      </c>
      <c r="G405" t="b">
        <v>0</v>
      </c>
      <c r="H405">
        <v>3</v>
      </c>
      <c r="I405">
        <v>3</v>
      </c>
      <c r="J405">
        <v>0.22</v>
      </c>
      <c r="K405">
        <v>0.21210000000000001</v>
      </c>
      <c r="L405">
        <v>0.93</v>
      </c>
      <c r="M405">
        <v>0.28360000000000002</v>
      </c>
      <c r="N405">
        <v>2</v>
      </c>
      <c r="O405">
        <v>26</v>
      </c>
      <c r="P405">
        <v>28</v>
      </c>
    </row>
    <row r="406" spans="1:16" x14ac:dyDescent="0.3">
      <c r="A406">
        <v>238</v>
      </c>
      <c r="B406" s="1">
        <v>40554</v>
      </c>
      <c r="C406">
        <v>1</v>
      </c>
      <c r="D406">
        <v>0</v>
      </c>
      <c r="E406">
        <v>1</v>
      </c>
      <c r="F406">
        <v>6</v>
      </c>
      <c r="G406" t="b">
        <v>0</v>
      </c>
      <c r="H406">
        <v>2</v>
      </c>
      <c r="I406">
        <v>2</v>
      </c>
      <c r="J406">
        <v>0.16</v>
      </c>
      <c r="K406">
        <v>0.18179999999999999</v>
      </c>
      <c r="L406">
        <v>0.55000000000000004</v>
      </c>
      <c r="M406">
        <v>0.1343</v>
      </c>
      <c r="N406">
        <v>0</v>
      </c>
      <c r="O406">
        <v>27</v>
      </c>
      <c r="P406">
        <v>27</v>
      </c>
    </row>
    <row r="407" spans="1:16" x14ac:dyDescent="0.3">
      <c r="A407">
        <v>324</v>
      </c>
      <c r="B407" s="1">
        <v>40557</v>
      </c>
      <c r="C407">
        <v>1</v>
      </c>
      <c r="D407">
        <v>0</v>
      </c>
      <c r="E407">
        <v>1</v>
      </c>
      <c r="F407">
        <v>23</v>
      </c>
      <c r="G407" t="b">
        <v>0</v>
      </c>
      <c r="H407">
        <v>5</v>
      </c>
      <c r="I407">
        <v>2</v>
      </c>
      <c r="J407">
        <v>0.18</v>
      </c>
      <c r="K407">
        <v>0.2424</v>
      </c>
      <c r="L407">
        <v>0.55000000000000004</v>
      </c>
      <c r="M407">
        <v>0</v>
      </c>
      <c r="N407">
        <v>1</v>
      </c>
      <c r="O407">
        <v>26</v>
      </c>
      <c r="P407">
        <v>27</v>
      </c>
    </row>
    <row r="408" spans="1:16" x14ac:dyDescent="0.3">
      <c r="A408">
        <v>394</v>
      </c>
      <c r="B408" s="1">
        <v>40560</v>
      </c>
      <c r="C408">
        <v>1</v>
      </c>
      <c r="D408">
        <v>0</v>
      </c>
      <c r="E408">
        <v>1</v>
      </c>
      <c r="F408">
        <v>21</v>
      </c>
      <c r="G408" t="b">
        <v>1</v>
      </c>
      <c r="H408">
        <v>1</v>
      </c>
      <c r="I408">
        <v>3</v>
      </c>
      <c r="J408">
        <v>0.16</v>
      </c>
      <c r="K408">
        <v>0.1515</v>
      </c>
      <c r="L408">
        <v>0.8</v>
      </c>
      <c r="M408">
        <v>0.19400000000000001</v>
      </c>
      <c r="N408">
        <v>3</v>
      </c>
      <c r="O408">
        <v>24</v>
      </c>
      <c r="P408">
        <v>27</v>
      </c>
    </row>
    <row r="409" spans="1:16" x14ac:dyDescent="0.3">
      <c r="A409">
        <v>462</v>
      </c>
      <c r="B409" s="1">
        <v>40564</v>
      </c>
      <c r="C409">
        <v>1</v>
      </c>
      <c r="D409">
        <v>0</v>
      </c>
      <c r="E409">
        <v>1</v>
      </c>
      <c r="F409">
        <v>6</v>
      </c>
      <c r="G409" t="b">
        <v>0</v>
      </c>
      <c r="H409">
        <v>5</v>
      </c>
      <c r="I409">
        <v>1</v>
      </c>
      <c r="J409">
        <v>0.22</v>
      </c>
      <c r="K409">
        <v>0.21210000000000001</v>
      </c>
      <c r="L409">
        <v>0.55000000000000004</v>
      </c>
      <c r="M409">
        <v>0.25369999999999998</v>
      </c>
      <c r="N409">
        <v>0</v>
      </c>
      <c r="O409">
        <v>27</v>
      </c>
      <c r="P409">
        <v>27</v>
      </c>
    </row>
    <row r="410" spans="1:16" x14ac:dyDescent="0.3">
      <c r="A410">
        <v>479</v>
      </c>
      <c r="B410" s="1">
        <v>40564</v>
      </c>
      <c r="C410">
        <v>1</v>
      </c>
      <c r="D410">
        <v>0</v>
      </c>
      <c r="E410">
        <v>1</v>
      </c>
      <c r="F410">
        <v>23</v>
      </c>
      <c r="G410" t="b">
        <v>0</v>
      </c>
      <c r="H410">
        <v>5</v>
      </c>
      <c r="I410">
        <v>1</v>
      </c>
      <c r="J410">
        <v>0.06</v>
      </c>
      <c r="K410">
        <v>4.5499999999999999E-2</v>
      </c>
      <c r="L410">
        <v>0.38</v>
      </c>
      <c r="M410">
        <v>0.32840000000000003</v>
      </c>
      <c r="N410">
        <v>0</v>
      </c>
      <c r="O410">
        <v>27</v>
      </c>
      <c r="P410">
        <v>27</v>
      </c>
    </row>
    <row r="411" spans="1:16" x14ac:dyDescent="0.3">
      <c r="A411">
        <v>487</v>
      </c>
      <c r="B411" s="1">
        <v>40565</v>
      </c>
      <c r="C411">
        <v>1</v>
      </c>
      <c r="D411">
        <v>0</v>
      </c>
      <c r="E411">
        <v>1</v>
      </c>
      <c r="F411">
        <v>8</v>
      </c>
      <c r="G411" t="b">
        <v>0</v>
      </c>
      <c r="H411">
        <v>6</v>
      </c>
      <c r="I411">
        <v>1</v>
      </c>
      <c r="J411">
        <v>0.02</v>
      </c>
      <c r="K411">
        <v>0</v>
      </c>
      <c r="L411">
        <v>0.44</v>
      </c>
      <c r="M411">
        <v>0.32840000000000003</v>
      </c>
      <c r="N411">
        <v>1</v>
      </c>
      <c r="O411">
        <v>26</v>
      </c>
      <c r="P411">
        <v>27</v>
      </c>
    </row>
    <row r="412" spans="1:16" x14ac:dyDescent="0.3">
      <c r="A412">
        <v>594</v>
      </c>
      <c r="B412" s="1">
        <v>40570</v>
      </c>
      <c r="C412">
        <v>1</v>
      </c>
      <c r="D412">
        <v>0</v>
      </c>
      <c r="E412">
        <v>1</v>
      </c>
      <c r="F412">
        <v>22</v>
      </c>
      <c r="G412" t="b">
        <v>0</v>
      </c>
      <c r="H412">
        <v>4</v>
      </c>
      <c r="I412">
        <v>1</v>
      </c>
      <c r="J412">
        <v>0.18</v>
      </c>
      <c r="K412">
        <v>0.21210000000000001</v>
      </c>
      <c r="L412">
        <v>0.74</v>
      </c>
      <c r="M412">
        <v>8.9599999999999999E-2</v>
      </c>
      <c r="N412">
        <v>0</v>
      </c>
      <c r="O412">
        <v>27</v>
      </c>
      <c r="P412">
        <v>27</v>
      </c>
    </row>
    <row r="413" spans="1:16" x14ac:dyDescent="0.3">
      <c r="A413">
        <v>347</v>
      </c>
      <c r="B413" s="1">
        <v>40558</v>
      </c>
      <c r="C413">
        <v>1</v>
      </c>
      <c r="D413">
        <v>0</v>
      </c>
      <c r="E413">
        <v>1</v>
      </c>
      <c r="F413">
        <v>22</v>
      </c>
      <c r="G413" t="b">
        <v>0</v>
      </c>
      <c r="H413">
        <v>6</v>
      </c>
      <c r="I413">
        <v>2</v>
      </c>
      <c r="J413">
        <v>0.3</v>
      </c>
      <c r="K413">
        <v>0.31819999999999998</v>
      </c>
      <c r="L413">
        <v>0.42</v>
      </c>
      <c r="M413">
        <v>0.1045</v>
      </c>
      <c r="N413">
        <v>0</v>
      </c>
      <c r="O413">
        <v>26</v>
      </c>
      <c r="P413">
        <v>26</v>
      </c>
    </row>
    <row r="414" spans="1:16" x14ac:dyDescent="0.3">
      <c r="A414">
        <v>587</v>
      </c>
      <c r="B414" s="1">
        <v>40569</v>
      </c>
      <c r="C414">
        <v>1</v>
      </c>
      <c r="D414">
        <v>0</v>
      </c>
      <c r="E414">
        <v>1</v>
      </c>
      <c r="F414">
        <v>17</v>
      </c>
      <c r="G414" t="b">
        <v>0</v>
      </c>
      <c r="H414">
        <v>3</v>
      </c>
      <c r="I414">
        <v>3</v>
      </c>
      <c r="J414">
        <v>0.2</v>
      </c>
      <c r="K414">
        <v>0.18179999999999999</v>
      </c>
      <c r="L414">
        <v>0.93</v>
      </c>
      <c r="M414">
        <v>0.35820000000000002</v>
      </c>
      <c r="N414">
        <v>0</v>
      </c>
      <c r="O414">
        <v>26</v>
      </c>
      <c r="P414">
        <v>26</v>
      </c>
    </row>
    <row r="415" spans="1:16" x14ac:dyDescent="0.3">
      <c r="A415">
        <v>162</v>
      </c>
      <c r="B415" s="1">
        <v>40551</v>
      </c>
      <c r="C415">
        <v>1</v>
      </c>
      <c r="D415">
        <v>0</v>
      </c>
      <c r="E415">
        <v>1</v>
      </c>
      <c r="F415">
        <v>0</v>
      </c>
      <c r="G415" t="b">
        <v>0</v>
      </c>
      <c r="H415">
        <v>6</v>
      </c>
      <c r="I415">
        <v>2</v>
      </c>
      <c r="J415">
        <v>0.18</v>
      </c>
      <c r="K415">
        <v>0.19700000000000001</v>
      </c>
      <c r="L415">
        <v>0.51</v>
      </c>
      <c r="M415">
        <v>0.16420000000000001</v>
      </c>
      <c r="N415">
        <v>1</v>
      </c>
      <c r="O415">
        <v>24</v>
      </c>
      <c r="P415">
        <v>25</v>
      </c>
    </row>
    <row r="416" spans="1:16" x14ac:dyDescent="0.3">
      <c r="A416">
        <v>186</v>
      </c>
      <c r="B416" s="1">
        <v>40552</v>
      </c>
      <c r="C416">
        <v>1</v>
      </c>
      <c r="D416">
        <v>0</v>
      </c>
      <c r="E416">
        <v>1</v>
      </c>
      <c r="F416">
        <v>0</v>
      </c>
      <c r="G416" t="b">
        <v>0</v>
      </c>
      <c r="H416">
        <v>0</v>
      </c>
      <c r="I416">
        <v>1</v>
      </c>
      <c r="J416">
        <v>0.1</v>
      </c>
      <c r="K416">
        <v>7.5800000000000006E-2</v>
      </c>
      <c r="L416">
        <v>0.42</v>
      </c>
      <c r="M416">
        <v>0.3881</v>
      </c>
      <c r="N416">
        <v>1</v>
      </c>
      <c r="O416">
        <v>24</v>
      </c>
      <c r="P416">
        <v>25</v>
      </c>
    </row>
    <row r="417" spans="1:16" x14ac:dyDescent="0.3">
      <c r="A417">
        <v>523</v>
      </c>
      <c r="B417" s="1">
        <v>40566</v>
      </c>
      <c r="C417">
        <v>1</v>
      </c>
      <c r="D417">
        <v>0</v>
      </c>
      <c r="E417">
        <v>1</v>
      </c>
      <c r="F417">
        <v>21</v>
      </c>
      <c r="G417" t="b">
        <v>0</v>
      </c>
      <c r="H417">
        <v>0</v>
      </c>
      <c r="I417">
        <v>1</v>
      </c>
      <c r="J417">
        <v>0.1</v>
      </c>
      <c r="K417">
        <v>0.1061</v>
      </c>
      <c r="L417">
        <v>0.36</v>
      </c>
      <c r="M417">
        <v>0.19400000000000001</v>
      </c>
      <c r="N417">
        <v>5</v>
      </c>
      <c r="O417">
        <v>20</v>
      </c>
      <c r="P417">
        <v>25</v>
      </c>
    </row>
    <row r="418" spans="1:16" x14ac:dyDescent="0.3">
      <c r="A418">
        <v>232</v>
      </c>
      <c r="B418" s="1">
        <v>40553</v>
      </c>
      <c r="C418">
        <v>1</v>
      </c>
      <c r="D418">
        <v>0</v>
      </c>
      <c r="E418">
        <v>1</v>
      </c>
      <c r="F418">
        <v>22</v>
      </c>
      <c r="G418" t="b">
        <v>0</v>
      </c>
      <c r="H418">
        <v>1</v>
      </c>
      <c r="I418">
        <v>1</v>
      </c>
      <c r="J418">
        <v>0.14000000000000001</v>
      </c>
      <c r="K418">
        <v>0.1515</v>
      </c>
      <c r="L418">
        <v>0.59</v>
      </c>
      <c r="M418">
        <v>0.16420000000000001</v>
      </c>
      <c r="N418">
        <v>2</v>
      </c>
      <c r="O418">
        <v>22</v>
      </c>
      <c r="P418">
        <v>24</v>
      </c>
    </row>
    <row r="419" spans="1:16" x14ac:dyDescent="0.3">
      <c r="A419">
        <v>548</v>
      </c>
      <c r="B419" s="1">
        <v>40567</v>
      </c>
      <c r="C419">
        <v>1</v>
      </c>
      <c r="D419">
        <v>0</v>
      </c>
      <c r="E419">
        <v>1</v>
      </c>
      <c r="F419">
        <v>23</v>
      </c>
      <c r="G419" t="b">
        <v>0</v>
      </c>
      <c r="H419">
        <v>1</v>
      </c>
      <c r="I419">
        <v>2</v>
      </c>
      <c r="J419">
        <v>0.16</v>
      </c>
      <c r="K419">
        <v>0.1515</v>
      </c>
      <c r="L419">
        <v>0.64</v>
      </c>
      <c r="M419">
        <v>0.25369999999999998</v>
      </c>
      <c r="N419">
        <v>3</v>
      </c>
      <c r="O419">
        <v>21</v>
      </c>
      <c r="P419">
        <v>24</v>
      </c>
    </row>
    <row r="420" spans="1:16" x14ac:dyDescent="0.3">
      <c r="A420">
        <v>588</v>
      </c>
      <c r="B420" s="1">
        <v>40570</v>
      </c>
      <c r="C420">
        <v>1</v>
      </c>
      <c r="D420">
        <v>0</v>
      </c>
      <c r="E420">
        <v>1</v>
      </c>
      <c r="F420">
        <v>16</v>
      </c>
      <c r="G420" t="b">
        <v>0</v>
      </c>
      <c r="H420">
        <v>4</v>
      </c>
      <c r="I420">
        <v>1</v>
      </c>
      <c r="J420">
        <v>0.22</v>
      </c>
      <c r="K420">
        <v>0.2273</v>
      </c>
      <c r="L420">
        <v>0.55000000000000004</v>
      </c>
      <c r="M420">
        <v>0.19400000000000001</v>
      </c>
      <c r="N420">
        <v>1</v>
      </c>
      <c r="O420">
        <v>23</v>
      </c>
      <c r="P420">
        <v>24</v>
      </c>
    </row>
    <row r="421" spans="1:16" x14ac:dyDescent="0.3">
      <c r="A421">
        <v>138</v>
      </c>
      <c r="B421" s="1">
        <v>40549</v>
      </c>
      <c r="C421">
        <v>1</v>
      </c>
      <c r="D421">
        <v>0</v>
      </c>
      <c r="E421">
        <v>1</v>
      </c>
      <c r="F421">
        <v>23</v>
      </c>
      <c r="G421" t="b">
        <v>0</v>
      </c>
      <c r="H421">
        <v>4</v>
      </c>
      <c r="I421">
        <v>2</v>
      </c>
      <c r="J421">
        <v>0.2</v>
      </c>
      <c r="K421">
        <v>0.19700000000000001</v>
      </c>
      <c r="L421">
        <v>0.59</v>
      </c>
      <c r="M421">
        <v>0.19400000000000001</v>
      </c>
      <c r="N421">
        <v>4</v>
      </c>
      <c r="O421">
        <v>19</v>
      </c>
      <c r="P421">
        <v>23</v>
      </c>
    </row>
    <row r="422" spans="1:16" x14ac:dyDescent="0.3">
      <c r="A422">
        <v>333</v>
      </c>
      <c r="B422" s="1">
        <v>40558</v>
      </c>
      <c r="C422">
        <v>1</v>
      </c>
      <c r="D422">
        <v>0</v>
      </c>
      <c r="E422">
        <v>1</v>
      </c>
      <c r="F422">
        <v>8</v>
      </c>
      <c r="G422" t="b">
        <v>0</v>
      </c>
      <c r="H422">
        <v>6</v>
      </c>
      <c r="I422">
        <v>1</v>
      </c>
      <c r="J422">
        <v>0.14000000000000001</v>
      </c>
      <c r="K422">
        <v>0.1515</v>
      </c>
      <c r="L422">
        <v>0.63</v>
      </c>
      <c r="M422">
        <v>0.1343</v>
      </c>
      <c r="N422">
        <v>1</v>
      </c>
      <c r="O422">
        <v>22</v>
      </c>
      <c r="P422">
        <v>23</v>
      </c>
    </row>
    <row r="423" spans="1:16" x14ac:dyDescent="0.3">
      <c r="A423">
        <v>350</v>
      </c>
      <c r="B423" s="1">
        <v>40559</v>
      </c>
      <c r="C423">
        <v>1</v>
      </c>
      <c r="D423">
        <v>0</v>
      </c>
      <c r="E423">
        <v>1</v>
      </c>
      <c r="F423">
        <v>1</v>
      </c>
      <c r="G423" t="b">
        <v>0</v>
      </c>
      <c r="H423">
        <v>0</v>
      </c>
      <c r="I423">
        <v>1</v>
      </c>
      <c r="J423">
        <v>0.26</v>
      </c>
      <c r="K423">
        <v>0.2727</v>
      </c>
      <c r="L423">
        <v>0.56000000000000005</v>
      </c>
      <c r="M423">
        <v>0.1343</v>
      </c>
      <c r="N423">
        <v>4</v>
      </c>
      <c r="O423">
        <v>19</v>
      </c>
      <c r="P423">
        <v>23</v>
      </c>
    </row>
    <row r="424" spans="1:16" x14ac:dyDescent="0.3">
      <c r="A424">
        <v>44</v>
      </c>
      <c r="B424" s="1">
        <v>40545</v>
      </c>
      <c r="C424">
        <v>1</v>
      </c>
      <c r="D424">
        <v>0</v>
      </c>
      <c r="E424">
        <v>1</v>
      </c>
      <c r="F424">
        <v>20</v>
      </c>
      <c r="G424" t="b">
        <v>0</v>
      </c>
      <c r="H424">
        <v>0</v>
      </c>
      <c r="I424">
        <v>1</v>
      </c>
      <c r="J424">
        <v>0.3</v>
      </c>
      <c r="L424">
        <v>0.39</v>
      </c>
      <c r="M424">
        <v>0.35820000000000002</v>
      </c>
      <c r="N424">
        <v>5</v>
      </c>
      <c r="O424">
        <v>17</v>
      </c>
      <c r="P424">
        <v>22</v>
      </c>
    </row>
    <row r="425" spans="1:16" x14ac:dyDescent="0.3">
      <c r="A425">
        <v>185</v>
      </c>
      <c r="B425" s="1">
        <v>40551</v>
      </c>
      <c r="C425">
        <v>1</v>
      </c>
      <c r="D425">
        <v>0</v>
      </c>
      <c r="E425">
        <v>1</v>
      </c>
      <c r="F425">
        <v>23</v>
      </c>
      <c r="G425" t="b">
        <v>0</v>
      </c>
      <c r="H425">
        <v>6</v>
      </c>
      <c r="I425">
        <v>1</v>
      </c>
      <c r="J425">
        <v>0.1</v>
      </c>
      <c r="K425">
        <v>6.0600000000000001E-2</v>
      </c>
      <c r="L425">
        <v>0.39</v>
      </c>
      <c r="M425">
        <v>0.44779999999999998</v>
      </c>
      <c r="N425">
        <v>0</v>
      </c>
      <c r="O425">
        <v>22</v>
      </c>
      <c r="P425">
        <v>22</v>
      </c>
    </row>
    <row r="426" spans="1:16" x14ac:dyDescent="0.3">
      <c r="A426">
        <v>398</v>
      </c>
      <c r="B426" s="1">
        <v>40561</v>
      </c>
      <c r="C426">
        <v>1</v>
      </c>
      <c r="D426">
        <v>0</v>
      </c>
      <c r="E426">
        <v>1</v>
      </c>
      <c r="F426">
        <v>13</v>
      </c>
      <c r="G426" t="b">
        <v>0</v>
      </c>
      <c r="H426">
        <v>2</v>
      </c>
      <c r="I426">
        <v>2</v>
      </c>
      <c r="J426">
        <v>0.2</v>
      </c>
      <c r="K426">
        <v>0.19700000000000001</v>
      </c>
      <c r="L426">
        <v>0.86</v>
      </c>
      <c r="M426">
        <v>0.22389999999999999</v>
      </c>
      <c r="N426">
        <v>0</v>
      </c>
      <c r="O426">
        <v>22</v>
      </c>
      <c r="P426">
        <v>22</v>
      </c>
    </row>
    <row r="427" spans="1:16" x14ac:dyDescent="0.3">
      <c r="A427">
        <v>503</v>
      </c>
      <c r="B427" s="1">
        <v>40566</v>
      </c>
      <c r="C427">
        <v>1</v>
      </c>
      <c r="D427">
        <v>0</v>
      </c>
      <c r="E427">
        <v>1</v>
      </c>
      <c r="F427">
        <v>0</v>
      </c>
      <c r="G427" t="b">
        <v>0</v>
      </c>
      <c r="H427">
        <v>0</v>
      </c>
      <c r="I427">
        <v>1</v>
      </c>
      <c r="J427">
        <v>0.04</v>
      </c>
      <c r="K427">
        <v>7.5800000000000006E-2</v>
      </c>
      <c r="L427">
        <v>0.56999999999999995</v>
      </c>
      <c r="M427">
        <v>0.1045</v>
      </c>
      <c r="N427">
        <v>2</v>
      </c>
      <c r="O427">
        <v>20</v>
      </c>
      <c r="P427">
        <v>22</v>
      </c>
    </row>
    <row r="428" spans="1:16" x14ac:dyDescent="0.3">
      <c r="A428">
        <v>371</v>
      </c>
      <c r="B428" s="1">
        <v>40559</v>
      </c>
      <c r="C428">
        <v>1</v>
      </c>
      <c r="D428">
        <v>0</v>
      </c>
      <c r="E428">
        <v>1</v>
      </c>
      <c r="F428">
        <v>22</v>
      </c>
      <c r="G428" t="b">
        <v>0</v>
      </c>
      <c r="H428">
        <v>0</v>
      </c>
      <c r="I428">
        <v>2</v>
      </c>
      <c r="J428">
        <v>0.2</v>
      </c>
      <c r="K428">
        <v>0.21210000000000001</v>
      </c>
      <c r="L428">
        <v>0.49</v>
      </c>
      <c r="M428">
        <v>0.1343</v>
      </c>
      <c r="N428">
        <v>2</v>
      </c>
      <c r="O428">
        <v>19</v>
      </c>
      <c r="P428">
        <v>21</v>
      </c>
    </row>
    <row r="429" spans="1:16" x14ac:dyDescent="0.3">
      <c r="A429">
        <v>456</v>
      </c>
      <c r="B429" s="1">
        <v>40564</v>
      </c>
      <c r="C429">
        <v>1</v>
      </c>
      <c r="D429">
        <v>0</v>
      </c>
      <c r="E429">
        <v>1</v>
      </c>
      <c r="F429">
        <v>0</v>
      </c>
      <c r="G429" t="b">
        <v>0</v>
      </c>
      <c r="H429">
        <v>5</v>
      </c>
      <c r="I429">
        <v>2</v>
      </c>
      <c r="J429">
        <v>0.24</v>
      </c>
      <c r="K429">
        <v>0.2273</v>
      </c>
      <c r="L429">
        <v>0.7</v>
      </c>
      <c r="M429">
        <v>0.25369999999999998</v>
      </c>
      <c r="N429">
        <v>1</v>
      </c>
      <c r="O429">
        <v>20</v>
      </c>
      <c r="P429">
        <v>21</v>
      </c>
    </row>
    <row r="430" spans="1:16" x14ac:dyDescent="0.3">
      <c r="A430">
        <v>525</v>
      </c>
      <c r="B430" s="1">
        <v>40566</v>
      </c>
      <c r="C430">
        <v>1</v>
      </c>
      <c r="D430">
        <v>0</v>
      </c>
      <c r="E430">
        <v>1</v>
      </c>
      <c r="F430">
        <v>23</v>
      </c>
      <c r="G430" t="b">
        <v>0</v>
      </c>
      <c r="H430">
        <v>0</v>
      </c>
      <c r="I430">
        <v>1</v>
      </c>
      <c r="J430">
        <v>0.06</v>
      </c>
      <c r="K430">
        <v>6.0600000000000001E-2</v>
      </c>
      <c r="L430">
        <v>0.41</v>
      </c>
      <c r="M430">
        <v>0.22389999999999999</v>
      </c>
      <c r="N430">
        <v>4</v>
      </c>
      <c r="O430">
        <v>17</v>
      </c>
      <c r="P430">
        <v>21</v>
      </c>
    </row>
    <row r="431" spans="1:16" x14ac:dyDescent="0.3">
      <c r="A431">
        <v>33</v>
      </c>
      <c r="B431" s="1">
        <v>40545</v>
      </c>
      <c r="C431">
        <v>1</v>
      </c>
      <c r="D431">
        <v>0</v>
      </c>
      <c r="E431">
        <v>1</v>
      </c>
      <c r="F431">
        <v>9</v>
      </c>
      <c r="G431" t="b">
        <v>0</v>
      </c>
      <c r="H431">
        <v>0</v>
      </c>
      <c r="I431">
        <v>2</v>
      </c>
      <c r="J431">
        <v>0.38</v>
      </c>
      <c r="L431">
        <v>0.76</v>
      </c>
      <c r="M431">
        <v>0.22389999999999999</v>
      </c>
      <c r="N431">
        <v>1</v>
      </c>
      <c r="O431">
        <v>19</v>
      </c>
      <c r="P431">
        <v>20</v>
      </c>
    </row>
    <row r="432" spans="1:16" x14ac:dyDescent="0.3">
      <c r="A432">
        <v>68</v>
      </c>
      <c r="B432" s="1">
        <v>40546</v>
      </c>
      <c r="C432">
        <v>1</v>
      </c>
      <c r="D432">
        <v>0</v>
      </c>
      <c r="E432">
        <v>1</v>
      </c>
      <c r="F432">
        <v>22</v>
      </c>
      <c r="G432" t="b">
        <v>0</v>
      </c>
      <c r="H432">
        <v>1</v>
      </c>
      <c r="I432">
        <v>1</v>
      </c>
      <c r="J432">
        <v>0.14000000000000001</v>
      </c>
      <c r="K432">
        <v>0.1515</v>
      </c>
      <c r="L432">
        <v>0.69</v>
      </c>
      <c r="M432">
        <v>0.1343</v>
      </c>
      <c r="N432">
        <v>0</v>
      </c>
      <c r="O432">
        <v>20</v>
      </c>
      <c r="P432">
        <v>20</v>
      </c>
    </row>
    <row r="433" spans="1:16" x14ac:dyDescent="0.3">
      <c r="A433">
        <v>171</v>
      </c>
      <c r="B433" s="1">
        <v>40551</v>
      </c>
      <c r="C433">
        <v>1</v>
      </c>
      <c r="D433">
        <v>0</v>
      </c>
      <c r="E433">
        <v>1</v>
      </c>
      <c r="F433">
        <v>9</v>
      </c>
      <c r="G433" t="b">
        <v>0</v>
      </c>
      <c r="H433">
        <v>6</v>
      </c>
      <c r="I433">
        <v>3</v>
      </c>
      <c r="J433">
        <v>0.16</v>
      </c>
      <c r="K433">
        <v>0.18179999999999999</v>
      </c>
      <c r="L433">
        <v>0.93</v>
      </c>
      <c r="M433">
        <v>0.1045</v>
      </c>
      <c r="N433">
        <v>0</v>
      </c>
      <c r="O433">
        <v>20</v>
      </c>
      <c r="P433">
        <v>20</v>
      </c>
    </row>
    <row r="434" spans="1:16" x14ac:dyDescent="0.3">
      <c r="A434">
        <v>207</v>
      </c>
      <c r="B434" s="1">
        <v>40552</v>
      </c>
      <c r="C434">
        <v>1</v>
      </c>
      <c r="D434">
        <v>0</v>
      </c>
      <c r="E434">
        <v>1</v>
      </c>
      <c r="F434">
        <v>21</v>
      </c>
      <c r="G434" t="b">
        <v>0</v>
      </c>
      <c r="H434">
        <v>0</v>
      </c>
      <c r="I434">
        <v>1</v>
      </c>
      <c r="J434">
        <v>0.14000000000000001</v>
      </c>
      <c r="K434">
        <v>0.1061</v>
      </c>
      <c r="L434">
        <v>0.46</v>
      </c>
      <c r="M434">
        <v>0.41789999999999999</v>
      </c>
      <c r="N434">
        <v>1</v>
      </c>
      <c r="O434">
        <v>19</v>
      </c>
      <c r="P434">
        <v>20</v>
      </c>
    </row>
    <row r="435" spans="1:16" x14ac:dyDescent="0.3">
      <c r="A435">
        <v>253</v>
      </c>
      <c r="B435" s="1">
        <v>40554</v>
      </c>
      <c r="C435">
        <v>1</v>
      </c>
      <c r="D435">
        <v>0</v>
      </c>
      <c r="E435">
        <v>1</v>
      </c>
      <c r="F435">
        <v>21</v>
      </c>
      <c r="G435" t="b">
        <v>0</v>
      </c>
      <c r="H435">
        <v>2</v>
      </c>
      <c r="I435">
        <v>3</v>
      </c>
      <c r="J435">
        <v>0.16</v>
      </c>
      <c r="K435">
        <v>0.19700000000000001</v>
      </c>
      <c r="L435">
        <v>0.86</v>
      </c>
      <c r="M435">
        <v>8.9599999999999999E-2</v>
      </c>
      <c r="N435">
        <v>0</v>
      </c>
      <c r="O435">
        <v>20</v>
      </c>
      <c r="P435">
        <v>20</v>
      </c>
    </row>
    <row r="436" spans="1:16" x14ac:dyDescent="0.3">
      <c r="A436">
        <v>277</v>
      </c>
      <c r="B436" s="1">
        <v>40555</v>
      </c>
      <c r="C436">
        <v>1</v>
      </c>
      <c r="D436">
        <v>0</v>
      </c>
      <c r="E436">
        <v>1</v>
      </c>
      <c r="F436">
        <v>23</v>
      </c>
      <c r="G436" t="b">
        <v>0</v>
      </c>
      <c r="H436">
        <v>3</v>
      </c>
      <c r="I436">
        <v>1</v>
      </c>
      <c r="J436">
        <v>0.14000000000000001</v>
      </c>
      <c r="K436">
        <v>0.1061</v>
      </c>
      <c r="L436">
        <v>0.59</v>
      </c>
      <c r="M436">
        <v>0.41789999999999999</v>
      </c>
      <c r="N436">
        <v>1</v>
      </c>
      <c r="O436">
        <v>19</v>
      </c>
      <c r="P436">
        <v>20</v>
      </c>
    </row>
    <row r="437" spans="1:16" x14ac:dyDescent="0.3">
      <c r="A437">
        <v>326</v>
      </c>
      <c r="B437" s="1">
        <v>40558</v>
      </c>
      <c r="C437">
        <v>1</v>
      </c>
      <c r="D437">
        <v>0</v>
      </c>
      <c r="E437">
        <v>1</v>
      </c>
      <c r="F437">
        <v>1</v>
      </c>
      <c r="G437" t="b">
        <v>0</v>
      </c>
      <c r="H437">
        <v>6</v>
      </c>
      <c r="I437">
        <v>2</v>
      </c>
      <c r="J437">
        <v>0.16</v>
      </c>
      <c r="K437">
        <v>0.19700000000000001</v>
      </c>
      <c r="L437">
        <v>0.59</v>
      </c>
      <c r="M437">
        <v>8.9599999999999999E-2</v>
      </c>
      <c r="N437">
        <v>2</v>
      </c>
      <c r="O437">
        <v>18</v>
      </c>
      <c r="P437">
        <v>20</v>
      </c>
    </row>
    <row r="438" spans="1:16" x14ac:dyDescent="0.3">
      <c r="A438">
        <v>408</v>
      </c>
      <c r="B438" s="1">
        <v>40561</v>
      </c>
      <c r="C438">
        <v>1</v>
      </c>
      <c r="D438">
        <v>0</v>
      </c>
      <c r="E438">
        <v>1</v>
      </c>
      <c r="F438">
        <v>23</v>
      </c>
      <c r="G438" t="b">
        <v>0</v>
      </c>
      <c r="H438">
        <v>2</v>
      </c>
      <c r="I438">
        <v>2</v>
      </c>
      <c r="J438">
        <v>0.22</v>
      </c>
      <c r="K438">
        <v>0.2727</v>
      </c>
      <c r="L438">
        <v>0.93</v>
      </c>
      <c r="M438">
        <v>0</v>
      </c>
      <c r="N438">
        <v>1</v>
      </c>
      <c r="O438">
        <v>19</v>
      </c>
      <c r="P438">
        <v>20</v>
      </c>
    </row>
    <row r="439" spans="1:16" x14ac:dyDescent="0.3">
      <c r="A439">
        <v>115</v>
      </c>
      <c r="B439" s="1">
        <v>40548</v>
      </c>
      <c r="C439">
        <v>1</v>
      </c>
      <c r="D439">
        <v>0</v>
      </c>
      <c r="E439">
        <v>1</v>
      </c>
      <c r="F439">
        <v>23</v>
      </c>
      <c r="G439" t="b">
        <v>0</v>
      </c>
      <c r="H439">
        <v>3</v>
      </c>
      <c r="I439">
        <v>1</v>
      </c>
      <c r="J439">
        <v>0.2</v>
      </c>
      <c r="K439">
        <v>0.2576</v>
      </c>
      <c r="L439">
        <v>0.47</v>
      </c>
      <c r="M439">
        <v>0</v>
      </c>
      <c r="N439">
        <v>1</v>
      </c>
      <c r="O439">
        <v>18</v>
      </c>
      <c r="P439">
        <v>19</v>
      </c>
    </row>
    <row r="440" spans="1:16" x14ac:dyDescent="0.3">
      <c r="A440">
        <v>195</v>
      </c>
      <c r="B440" s="1">
        <v>40552</v>
      </c>
      <c r="C440">
        <v>1</v>
      </c>
      <c r="D440">
        <v>0</v>
      </c>
      <c r="E440">
        <v>1</v>
      </c>
      <c r="F440">
        <v>9</v>
      </c>
      <c r="G440" t="b">
        <v>0</v>
      </c>
      <c r="H440">
        <v>0</v>
      </c>
      <c r="I440">
        <v>1</v>
      </c>
      <c r="J440">
        <v>0.12</v>
      </c>
      <c r="K440">
        <v>7.5800000000000006E-2</v>
      </c>
      <c r="L440">
        <v>0.46</v>
      </c>
      <c r="M440">
        <v>0.52239999999999998</v>
      </c>
      <c r="N440">
        <v>0</v>
      </c>
      <c r="O440">
        <v>19</v>
      </c>
      <c r="P440">
        <v>19</v>
      </c>
    </row>
    <row r="441" spans="1:16" x14ac:dyDescent="0.3">
      <c r="A441">
        <v>255</v>
      </c>
      <c r="B441" s="1">
        <v>40554</v>
      </c>
      <c r="C441">
        <v>1</v>
      </c>
      <c r="D441">
        <v>0</v>
      </c>
      <c r="E441">
        <v>1</v>
      </c>
      <c r="F441">
        <v>23</v>
      </c>
      <c r="G441" t="b">
        <v>0</v>
      </c>
      <c r="H441">
        <v>2</v>
      </c>
      <c r="I441">
        <v>3</v>
      </c>
      <c r="J441">
        <v>0.16</v>
      </c>
      <c r="K441">
        <v>0.19700000000000001</v>
      </c>
      <c r="L441">
        <v>0.93</v>
      </c>
      <c r="M441">
        <v>8.9599999999999999E-2</v>
      </c>
      <c r="N441">
        <v>1</v>
      </c>
      <c r="O441">
        <v>18</v>
      </c>
      <c r="P441">
        <v>19</v>
      </c>
    </row>
    <row r="442" spans="1:16" x14ac:dyDescent="0.3">
      <c r="A442">
        <v>510</v>
      </c>
      <c r="B442" s="1">
        <v>40566</v>
      </c>
      <c r="C442">
        <v>1</v>
      </c>
      <c r="D442">
        <v>0</v>
      </c>
      <c r="E442">
        <v>1</v>
      </c>
      <c r="F442">
        <v>8</v>
      </c>
      <c r="G442" t="b">
        <v>0</v>
      </c>
      <c r="H442">
        <v>0</v>
      </c>
      <c r="I442">
        <v>1</v>
      </c>
      <c r="J442">
        <v>0.06</v>
      </c>
      <c r="K442">
        <v>7.5800000000000006E-2</v>
      </c>
      <c r="L442">
        <v>0.62</v>
      </c>
      <c r="M442">
        <v>0.16420000000000001</v>
      </c>
      <c r="N442">
        <v>2</v>
      </c>
      <c r="O442">
        <v>17</v>
      </c>
      <c r="P442">
        <v>19</v>
      </c>
    </row>
    <row r="443" spans="1:16" x14ac:dyDescent="0.3">
      <c r="A443">
        <v>233</v>
      </c>
      <c r="B443" s="1">
        <v>40553</v>
      </c>
      <c r="C443">
        <v>1</v>
      </c>
      <c r="D443">
        <v>0</v>
      </c>
      <c r="E443">
        <v>1</v>
      </c>
      <c r="F443">
        <v>23</v>
      </c>
      <c r="G443" t="b">
        <v>0</v>
      </c>
      <c r="H443">
        <v>1</v>
      </c>
      <c r="I443">
        <v>1</v>
      </c>
      <c r="J443">
        <v>0.14000000000000001</v>
      </c>
      <c r="K443">
        <v>0.1515</v>
      </c>
      <c r="L443">
        <v>0.59</v>
      </c>
      <c r="M443">
        <v>0.16420000000000001</v>
      </c>
      <c r="N443">
        <v>0</v>
      </c>
      <c r="O443">
        <v>18</v>
      </c>
      <c r="P443">
        <v>18</v>
      </c>
    </row>
    <row r="444" spans="1:16" x14ac:dyDescent="0.3">
      <c r="A444">
        <v>357</v>
      </c>
      <c r="B444" s="1">
        <v>40559</v>
      </c>
      <c r="C444">
        <v>1</v>
      </c>
      <c r="D444">
        <v>0</v>
      </c>
      <c r="E444">
        <v>1</v>
      </c>
      <c r="F444">
        <v>8</v>
      </c>
      <c r="G444" t="b">
        <v>0</v>
      </c>
      <c r="H444">
        <v>0</v>
      </c>
      <c r="I444">
        <v>1</v>
      </c>
      <c r="J444">
        <v>0.22</v>
      </c>
      <c r="K444">
        <v>0.21210000000000001</v>
      </c>
      <c r="L444">
        <v>0.55000000000000004</v>
      </c>
      <c r="M444">
        <v>0.28360000000000002</v>
      </c>
      <c r="N444">
        <v>0</v>
      </c>
      <c r="O444">
        <v>18</v>
      </c>
      <c r="P444">
        <v>18</v>
      </c>
    </row>
    <row r="445" spans="1:16" x14ac:dyDescent="0.3">
      <c r="A445">
        <v>372</v>
      </c>
      <c r="B445" s="1">
        <v>40559</v>
      </c>
      <c r="C445">
        <v>1</v>
      </c>
      <c r="D445">
        <v>0</v>
      </c>
      <c r="E445">
        <v>1</v>
      </c>
      <c r="F445">
        <v>23</v>
      </c>
      <c r="G445" t="b">
        <v>0</v>
      </c>
      <c r="H445">
        <v>0</v>
      </c>
      <c r="I445">
        <v>2</v>
      </c>
      <c r="J445">
        <v>0.2</v>
      </c>
      <c r="K445">
        <v>0.2273</v>
      </c>
      <c r="L445">
        <v>0.4</v>
      </c>
      <c r="M445">
        <v>0.1045</v>
      </c>
      <c r="N445">
        <v>0</v>
      </c>
      <c r="O445">
        <v>18</v>
      </c>
      <c r="P445">
        <v>18</v>
      </c>
    </row>
    <row r="446" spans="1:16" x14ac:dyDescent="0.3">
      <c r="A446">
        <v>505</v>
      </c>
      <c r="B446" s="1">
        <v>40566</v>
      </c>
      <c r="C446">
        <v>1</v>
      </c>
      <c r="D446">
        <v>0</v>
      </c>
      <c r="E446">
        <v>1</v>
      </c>
      <c r="F446">
        <v>2</v>
      </c>
      <c r="G446" t="b">
        <v>0</v>
      </c>
      <c r="H446">
        <v>0</v>
      </c>
      <c r="I446">
        <v>1</v>
      </c>
      <c r="J446">
        <v>0.02</v>
      </c>
      <c r="K446">
        <v>6.0600000000000001E-2</v>
      </c>
      <c r="L446">
        <v>0.62</v>
      </c>
      <c r="M446">
        <v>0.1343</v>
      </c>
      <c r="N446">
        <v>3</v>
      </c>
      <c r="O446">
        <v>15</v>
      </c>
      <c r="P446">
        <v>18</v>
      </c>
    </row>
    <row r="447" spans="1:16" x14ac:dyDescent="0.3">
      <c r="A447">
        <v>25</v>
      </c>
      <c r="B447" s="1">
        <v>40545</v>
      </c>
      <c r="C447">
        <v>1</v>
      </c>
      <c r="D447">
        <v>0</v>
      </c>
      <c r="E447">
        <v>1</v>
      </c>
      <c r="F447">
        <v>0</v>
      </c>
      <c r="G447" t="b">
        <v>0</v>
      </c>
      <c r="H447">
        <v>0</v>
      </c>
      <c r="I447">
        <v>2</v>
      </c>
      <c r="J447">
        <v>0.46</v>
      </c>
      <c r="K447">
        <v>0.45450000000000002</v>
      </c>
      <c r="L447">
        <v>0.88</v>
      </c>
      <c r="M447">
        <v>0.29849999999999999</v>
      </c>
      <c r="N447">
        <v>4</v>
      </c>
      <c r="O447">
        <v>13</v>
      </c>
      <c r="P447">
        <v>17</v>
      </c>
    </row>
    <row r="448" spans="1:16" x14ac:dyDescent="0.3">
      <c r="A448">
        <v>26</v>
      </c>
      <c r="B448" s="1">
        <v>40545</v>
      </c>
      <c r="C448">
        <v>1</v>
      </c>
      <c r="D448">
        <v>0</v>
      </c>
      <c r="E448">
        <v>1</v>
      </c>
      <c r="F448">
        <v>1</v>
      </c>
      <c r="G448" t="b">
        <v>0</v>
      </c>
      <c r="H448">
        <v>0</v>
      </c>
      <c r="I448">
        <v>2</v>
      </c>
      <c r="J448">
        <v>0.44</v>
      </c>
      <c r="K448">
        <v>0.43940000000000001</v>
      </c>
      <c r="L448">
        <v>0.94</v>
      </c>
      <c r="M448">
        <v>0.25369999999999998</v>
      </c>
      <c r="N448">
        <v>1</v>
      </c>
      <c r="O448">
        <v>16</v>
      </c>
      <c r="P448">
        <v>17</v>
      </c>
    </row>
    <row r="449" spans="1:16" x14ac:dyDescent="0.3">
      <c r="A449">
        <v>139</v>
      </c>
      <c r="B449" s="1">
        <v>40550</v>
      </c>
      <c r="C449">
        <v>1</v>
      </c>
      <c r="D449">
        <v>0</v>
      </c>
      <c r="E449">
        <v>1</v>
      </c>
      <c r="F449">
        <v>0</v>
      </c>
      <c r="G449" t="b">
        <v>0</v>
      </c>
      <c r="H449">
        <v>5</v>
      </c>
      <c r="I449">
        <v>2</v>
      </c>
      <c r="J449">
        <v>0.2</v>
      </c>
      <c r="K449">
        <v>0.19700000000000001</v>
      </c>
      <c r="L449">
        <v>0.64</v>
      </c>
      <c r="M449">
        <v>0.19400000000000001</v>
      </c>
      <c r="N449">
        <v>4</v>
      </c>
      <c r="O449">
        <v>13</v>
      </c>
      <c r="P449">
        <v>17</v>
      </c>
    </row>
    <row r="450" spans="1:16" x14ac:dyDescent="0.3">
      <c r="A450">
        <v>307</v>
      </c>
      <c r="B450" s="1">
        <v>40557</v>
      </c>
      <c r="C450">
        <v>1</v>
      </c>
      <c r="D450">
        <v>0</v>
      </c>
      <c r="E450">
        <v>1</v>
      </c>
      <c r="F450">
        <v>6</v>
      </c>
      <c r="G450" t="b">
        <v>0</v>
      </c>
      <c r="H450">
        <v>5</v>
      </c>
      <c r="I450">
        <v>1</v>
      </c>
      <c r="J450">
        <v>0.1</v>
      </c>
      <c r="K450">
        <v>0.18179999999999999</v>
      </c>
      <c r="L450">
        <v>0.54</v>
      </c>
      <c r="M450">
        <v>0</v>
      </c>
      <c r="N450">
        <v>0</v>
      </c>
      <c r="O450">
        <v>17</v>
      </c>
      <c r="P450">
        <v>17</v>
      </c>
    </row>
    <row r="451" spans="1:16" x14ac:dyDescent="0.3">
      <c r="A451">
        <v>373</v>
      </c>
      <c r="B451" s="1">
        <v>40560</v>
      </c>
      <c r="C451">
        <v>1</v>
      </c>
      <c r="D451">
        <v>0</v>
      </c>
      <c r="E451">
        <v>1</v>
      </c>
      <c r="F451">
        <v>0</v>
      </c>
      <c r="G451" t="b">
        <v>1</v>
      </c>
      <c r="H451">
        <v>1</v>
      </c>
      <c r="I451">
        <v>2</v>
      </c>
      <c r="J451">
        <v>0.2</v>
      </c>
      <c r="K451">
        <v>0.19700000000000001</v>
      </c>
      <c r="L451">
        <v>0.47</v>
      </c>
      <c r="M451">
        <v>0.22389999999999999</v>
      </c>
      <c r="N451">
        <v>1</v>
      </c>
      <c r="O451">
        <v>16</v>
      </c>
      <c r="P451">
        <v>17</v>
      </c>
    </row>
    <row r="452" spans="1:16" x14ac:dyDescent="0.3">
      <c r="A452">
        <v>572</v>
      </c>
      <c r="B452" s="1">
        <v>40569</v>
      </c>
      <c r="C452">
        <v>1</v>
      </c>
      <c r="D452">
        <v>0</v>
      </c>
      <c r="E452">
        <v>1</v>
      </c>
      <c r="F452">
        <v>0</v>
      </c>
      <c r="G452" t="b">
        <v>0</v>
      </c>
      <c r="H452">
        <v>3</v>
      </c>
      <c r="I452">
        <v>2</v>
      </c>
      <c r="J452">
        <v>0.22</v>
      </c>
      <c r="K452">
        <v>0.2273</v>
      </c>
      <c r="L452">
        <v>0.69</v>
      </c>
      <c r="M452">
        <v>0.1343</v>
      </c>
      <c r="N452">
        <v>3</v>
      </c>
      <c r="O452">
        <v>14</v>
      </c>
      <c r="P452">
        <v>17</v>
      </c>
    </row>
    <row r="453" spans="1:16" x14ac:dyDescent="0.3">
      <c r="A453">
        <v>1</v>
      </c>
      <c r="B453" s="1">
        <v>40544</v>
      </c>
      <c r="C453">
        <v>1</v>
      </c>
      <c r="D453">
        <v>0</v>
      </c>
      <c r="E453">
        <v>1</v>
      </c>
      <c r="F453">
        <v>0</v>
      </c>
      <c r="G453" t="b">
        <v>0</v>
      </c>
      <c r="H453">
        <v>6</v>
      </c>
      <c r="I453">
        <v>1</v>
      </c>
      <c r="J453">
        <v>0.24</v>
      </c>
      <c r="K453">
        <v>0.28789999999999999</v>
      </c>
      <c r="L453">
        <v>0.81</v>
      </c>
      <c r="M453">
        <v>0</v>
      </c>
      <c r="N453">
        <v>3</v>
      </c>
      <c r="O453">
        <v>13</v>
      </c>
      <c r="P453">
        <v>16</v>
      </c>
    </row>
    <row r="454" spans="1:16" x14ac:dyDescent="0.3">
      <c r="A454">
        <v>163</v>
      </c>
      <c r="B454" s="1">
        <v>40551</v>
      </c>
      <c r="C454">
        <v>1</v>
      </c>
      <c r="D454">
        <v>0</v>
      </c>
      <c r="E454">
        <v>1</v>
      </c>
      <c r="F454">
        <v>1</v>
      </c>
      <c r="G454" t="b">
        <v>0</v>
      </c>
      <c r="H454">
        <v>6</v>
      </c>
      <c r="I454">
        <v>2</v>
      </c>
      <c r="J454">
        <v>0.18</v>
      </c>
      <c r="K454">
        <v>0.21210000000000001</v>
      </c>
      <c r="L454">
        <v>0.55000000000000004</v>
      </c>
      <c r="M454">
        <v>8.9599999999999999E-2</v>
      </c>
      <c r="N454">
        <v>1</v>
      </c>
      <c r="O454">
        <v>15</v>
      </c>
      <c r="P454">
        <v>16</v>
      </c>
    </row>
    <row r="455" spans="1:16" x14ac:dyDescent="0.3">
      <c r="A455">
        <v>164</v>
      </c>
      <c r="B455" s="1">
        <v>40551</v>
      </c>
      <c r="C455">
        <v>1</v>
      </c>
      <c r="D455">
        <v>0</v>
      </c>
      <c r="E455">
        <v>1</v>
      </c>
      <c r="F455">
        <v>2</v>
      </c>
      <c r="G455" t="b">
        <v>0</v>
      </c>
      <c r="H455">
        <v>6</v>
      </c>
      <c r="I455">
        <v>2</v>
      </c>
      <c r="J455">
        <v>0.18</v>
      </c>
      <c r="K455">
        <v>0.2424</v>
      </c>
      <c r="L455">
        <v>0.55000000000000004</v>
      </c>
      <c r="M455">
        <v>0</v>
      </c>
      <c r="N455">
        <v>3</v>
      </c>
      <c r="O455">
        <v>13</v>
      </c>
      <c r="P455">
        <v>16</v>
      </c>
    </row>
    <row r="456" spans="1:16" x14ac:dyDescent="0.3">
      <c r="A456">
        <v>260</v>
      </c>
      <c r="B456" s="1">
        <v>40555</v>
      </c>
      <c r="C456">
        <v>1</v>
      </c>
      <c r="D456">
        <v>0</v>
      </c>
      <c r="E456">
        <v>1</v>
      </c>
      <c r="F456">
        <v>6</v>
      </c>
      <c r="G456" t="b">
        <v>0</v>
      </c>
      <c r="H456">
        <v>3</v>
      </c>
      <c r="I456">
        <v>1</v>
      </c>
      <c r="J456">
        <v>0.12</v>
      </c>
      <c r="K456">
        <v>0.1515</v>
      </c>
      <c r="L456">
        <v>0.93</v>
      </c>
      <c r="M456">
        <v>0.1343</v>
      </c>
      <c r="N456">
        <v>0</v>
      </c>
      <c r="O456">
        <v>16</v>
      </c>
      <c r="P456">
        <v>16</v>
      </c>
    </row>
    <row r="457" spans="1:16" x14ac:dyDescent="0.3">
      <c r="A457">
        <v>351</v>
      </c>
      <c r="B457" s="1">
        <v>40559</v>
      </c>
      <c r="C457">
        <v>1</v>
      </c>
      <c r="D457">
        <v>0</v>
      </c>
      <c r="E457">
        <v>1</v>
      </c>
      <c r="F457">
        <v>2</v>
      </c>
      <c r="G457" t="b">
        <v>0</v>
      </c>
      <c r="H457">
        <v>0</v>
      </c>
      <c r="I457">
        <v>1</v>
      </c>
      <c r="J457">
        <v>0.26</v>
      </c>
      <c r="K457">
        <v>0.28789999999999999</v>
      </c>
      <c r="L457">
        <v>0.56000000000000005</v>
      </c>
      <c r="M457">
        <v>8.9599999999999999E-2</v>
      </c>
      <c r="N457">
        <v>3</v>
      </c>
      <c r="O457">
        <v>13</v>
      </c>
      <c r="P457">
        <v>16</v>
      </c>
    </row>
    <row r="458" spans="1:16" x14ac:dyDescent="0.3">
      <c r="A458">
        <v>374</v>
      </c>
      <c r="B458" s="1">
        <v>40560</v>
      </c>
      <c r="C458">
        <v>1</v>
      </c>
      <c r="D458">
        <v>0</v>
      </c>
      <c r="E458">
        <v>1</v>
      </c>
      <c r="F458">
        <v>1</v>
      </c>
      <c r="G458" t="b">
        <v>1</v>
      </c>
      <c r="H458">
        <v>1</v>
      </c>
      <c r="I458">
        <v>2</v>
      </c>
      <c r="J458">
        <v>0.2</v>
      </c>
      <c r="K458">
        <v>0.19700000000000001</v>
      </c>
      <c r="L458">
        <v>0.44</v>
      </c>
      <c r="M458">
        <v>0.19400000000000001</v>
      </c>
      <c r="N458">
        <v>1</v>
      </c>
      <c r="O458">
        <v>15</v>
      </c>
      <c r="P458">
        <v>16</v>
      </c>
    </row>
    <row r="459" spans="1:16" x14ac:dyDescent="0.3">
      <c r="A459">
        <v>595</v>
      </c>
      <c r="B459" s="1">
        <v>40570</v>
      </c>
      <c r="C459">
        <v>1</v>
      </c>
      <c r="D459">
        <v>0</v>
      </c>
      <c r="E459">
        <v>1</v>
      </c>
      <c r="F459">
        <v>23</v>
      </c>
      <c r="G459" t="b">
        <v>0</v>
      </c>
      <c r="H459">
        <v>4</v>
      </c>
      <c r="I459">
        <v>1</v>
      </c>
      <c r="J459">
        <v>0.18</v>
      </c>
      <c r="K459">
        <v>0.19700000000000001</v>
      </c>
      <c r="L459">
        <v>0.8</v>
      </c>
      <c r="M459">
        <v>0.16420000000000001</v>
      </c>
      <c r="N459">
        <v>0</v>
      </c>
      <c r="O459">
        <v>16</v>
      </c>
      <c r="P459">
        <v>16</v>
      </c>
    </row>
    <row r="460" spans="1:16" x14ac:dyDescent="0.3">
      <c r="A460">
        <v>601</v>
      </c>
      <c r="B460" s="1">
        <v>40571</v>
      </c>
      <c r="C460">
        <v>1</v>
      </c>
      <c r="D460">
        <v>0</v>
      </c>
      <c r="E460">
        <v>1</v>
      </c>
      <c r="F460">
        <v>6</v>
      </c>
      <c r="G460" t="b">
        <v>0</v>
      </c>
      <c r="H460">
        <v>5</v>
      </c>
      <c r="I460">
        <v>2</v>
      </c>
      <c r="J460">
        <v>0.18</v>
      </c>
      <c r="K460">
        <v>0.19700000000000001</v>
      </c>
      <c r="L460">
        <v>0.8</v>
      </c>
      <c r="M460">
        <v>0.1343</v>
      </c>
      <c r="N460">
        <v>0</v>
      </c>
      <c r="O460">
        <v>16</v>
      </c>
      <c r="P460">
        <v>16</v>
      </c>
    </row>
    <row r="461" spans="1:16" x14ac:dyDescent="0.3">
      <c r="A461">
        <v>161</v>
      </c>
      <c r="B461" s="1">
        <v>40550</v>
      </c>
      <c r="C461">
        <v>1</v>
      </c>
      <c r="D461">
        <v>0</v>
      </c>
      <c r="E461">
        <v>1</v>
      </c>
      <c r="F461">
        <v>23</v>
      </c>
      <c r="G461" t="b">
        <v>0</v>
      </c>
      <c r="H461">
        <v>5</v>
      </c>
      <c r="I461">
        <v>2</v>
      </c>
      <c r="J461">
        <v>0.18</v>
      </c>
      <c r="K461">
        <v>0.19700000000000001</v>
      </c>
      <c r="L461">
        <v>0.51</v>
      </c>
      <c r="M461">
        <v>0.16420000000000001</v>
      </c>
      <c r="N461">
        <v>1</v>
      </c>
      <c r="O461">
        <v>14</v>
      </c>
      <c r="P461">
        <v>15</v>
      </c>
    </row>
    <row r="462" spans="1:16" x14ac:dyDescent="0.3">
      <c r="A462">
        <v>170</v>
      </c>
      <c r="B462" s="1">
        <v>40551</v>
      </c>
      <c r="C462">
        <v>1</v>
      </c>
      <c r="D462">
        <v>0</v>
      </c>
      <c r="E462">
        <v>1</v>
      </c>
      <c r="F462">
        <v>8</v>
      </c>
      <c r="G462" t="b">
        <v>0</v>
      </c>
      <c r="H462">
        <v>6</v>
      </c>
      <c r="I462">
        <v>3</v>
      </c>
      <c r="J462">
        <v>0.16</v>
      </c>
      <c r="K462">
        <v>0.18179999999999999</v>
      </c>
      <c r="L462">
        <v>0.93</v>
      </c>
      <c r="M462">
        <v>0.1045</v>
      </c>
      <c r="N462">
        <v>0</v>
      </c>
      <c r="O462">
        <v>15</v>
      </c>
      <c r="P462">
        <v>15</v>
      </c>
    </row>
    <row r="463" spans="1:16" x14ac:dyDescent="0.3">
      <c r="A463">
        <v>208</v>
      </c>
      <c r="B463" s="1">
        <v>40552</v>
      </c>
      <c r="C463">
        <v>1</v>
      </c>
      <c r="D463">
        <v>0</v>
      </c>
      <c r="E463">
        <v>1</v>
      </c>
      <c r="F463">
        <v>22</v>
      </c>
      <c r="G463" t="b">
        <v>0</v>
      </c>
      <c r="H463">
        <v>0</v>
      </c>
      <c r="I463">
        <v>1</v>
      </c>
      <c r="J463">
        <v>0.14000000000000001</v>
      </c>
      <c r="K463">
        <v>0.1212</v>
      </c>
      <c r="L463">
        <v>0.46</v>
      </c>
      <c r="M463">
        <v>0.29849999999999999</v>
      </c>
      <c r="N463">
        <v>5</v>
      </c>
      <c r="O463">
        <v>10</v>
      </c>
      <c r="P463">
        <v>15</v>
      </c>
    </row>
    <row r="464" spans="1:16" x14ac:dyDescent="0.3">
      <c r="A464">
        <v>301</v>
      </c>
      <c r="B464" s="1">
        <v>40556</v>
      </c>
      <c r="C464">
        <v>1</v>
      </c>
      <c r="D464">
        <v>0</v>
      </c>
      <c r="E464">
        <v>1</v>
      </c>
      <c r="F464">
        <v>23</v>
      </c>
      <c r="G464" t="b">
        <v>0</v>
      </c>
      <c r="H464">
        <v>4</v>
      </c>
      <c r="I464">
        <v>1</v>
      </c>
      <c r="J464">
        <v>0.12</v>
      </c>
      <c r="K464">
        <v>0.13639999999999999</v>
      </c>
      <c r="L464">
        <v>0.5</v>
      </c>
      <c r="M464">
        <v>0.19400000000000001</v>
      </c>
      <c r="N464">
        <v>1</v>
      </c>
      <c r="O464">
        <v>14</v>
      </c>
      <c r="P464">
        <v>15</v>
      </c>
    </row>
    <row r="465" spans="1:16" x14ac:dyDescent="0.3">
      <c r="A465">
        <v>352</v>
      </c>
      <c r="B465" s="1">
        <v>40559</v>
      </c>
      <c r="C465">
        <v>1</v>
      </c>
      <c r="D465">
        <v>0</v>
      </c>
      <c r="E465">
        <v>1</v>
      </c>
      <c r="F465">
        <v>3</v>
      </c>
      <c r="G465" t="b">
        <v>0</v>
      </c>
      <c r="H465">
        <v>0</v>
      </c>
      <c r="I465">
        <v>1</v>
      </c>
      <c r="J465">
        <v>0.22</v>
      </c>
      <c r="K465">
        <v>0.2727</v>
      </c>
      <c r="L465">
        <v>0.69</v>
      </c>
      <c r="M465">
        <v>0</v>
      </c>
      <c r="N465">
        <v>9</v>
      </c>
      <c r="O465">
        <v>6</v>
      </c>
      <c r="P465">
        <v>15</v>
      </c>
    </row>
    <row r="466" spans="1:16" x14ac:dyDescent="0.3">
      <c r="A466">
        <v>531</v>
      </c>
      <c r="B466" s="1">
        <v>40567</v>
      </c>
      <c r="C466">
        <v>1</v>
      </c>
      <c r="D466">
        <v>0</v>
      </c>
      <c r="E466">
        <v>1</v>
      </c>
      <c r="F466">
        <v>6</v>
      </c>
      <c r="G466" t="b">
        <v>0</v>
      </c>
      <c r="H466">
        <v>1</v>
      </c>
      <c r="I466">
        <v>1</v>
      </c>
      <c r="J466">
        <v>0.02</v>
      </c>
      <c r="K466">
        <v>7.5800000000000006E-2</v>
      </c>
      <c r="L466">
        <v>0.48</v>
      </c>
      <c r="M466">
        <v>8.9599999999999999E-2</v>
      </c>
      <c r="N466">
        <v>0</v>
      </c>
      <c r="O466">
        <v>15</v>
      </c>
      <c r="P466">
        <v>15</v>
      </c>
    </row>
    <row r="467" spans="1:16" x14ac:dyDescent="0.3">
      <c r="A467">
        <v>10</v>
      </c>
      <c r="B467" s="1">
        <v>40544</v>
      </c>
      <c r="C467">
        <v>1</v>
      </c>
      <c r="D467">
        <v>0</v>
      </c>
      <c r="E467">
        <v>1</v>
      </c>
      <c r="F467">
        <v>9</v>
      </c>
      <c r="G467" t="b">
        <v>0</v>
      </c>
      <c r="H467">
        <v>6</v>
      </c>
      <c r="I467">
        <v>1</v>
      </c>
      <c r="J467">
        <v>0.32</v>
      </c>
      <c r="K467">
        <v>0.34849999999999998</v>
      </c>
      <c r="L467">
        <v>0.76</v>
      </c>
      <c r="M467">
        <v>0</v>
      </c>
      <c r="N467">
        <v>8</v>
      </c>
      <c r="O467">
        <v>6</v>
      </c>
      <c r="P467">
        <v>14</v>
      </c>
    </row>
    <row r="468" spans="1:16" x14ac:dyDescent="0.3">
      <c r="A468">
        <v>302</v>
      </c>
      <c r="B468" s="1">
        <v>40557</v>
      </c>
      <c r="C468">
        <v>1</v>
      </c>
      <c r="D468">
        <v>0</v>
      </c>
      <c r="E468">
        <v>1</v>
      </c>
      <c r="F468">
        <v>0</v>
      </c>
      <c r="G468" t="b">
        <v>0</v>
      </c>
      <c r="H468">
        <v>5</v>
      </c>
      <c r="I468">
        <v>1</v>
      </c>
      <c r="J468">
        <v>0.12</v>
      </c>
      <c r="K468">
        <v>0.13639999999999999</v>
      </c>
      <c r="L468">
        <v>0.5</v>
      </c>
      <c r="M468">
        <v>0.19400000000000001</v>
      </c>
      <c r="N468">
        <v>0</v>
      </c>
      <c r="O468">
        <v>14</v>
      </c>
      <c r="P468">
        <v>14</v>
      </c>
    </row>
    <row r="469" spans="1:16" x14ac:dyDescent="0.3">
      <c r="A469">
        <v>4</v>
      </c>
      <c r="B469" s="1">
        <v>40544</v>
      </c>
      <c r="C469">
        <v>1</v>
      </c>
      <c r="D469">
        <v>0</v>
      </c>
      <c r="E469">
        <v>1</v>
      </c>
      <c r="F469">
        <v>3</v>
      </c>
      <c r="G469" t="b">
        <v>0</v>
      </c>
      <c r="H469">
        <v>6</v>
      </c>
      <c r="I469">
        <v>1</v>
      </c>
      <c r="J469">
        <v>0.24</v>
      </c>
      <c r="K469">
        <v>0.28789999999999999</v>
      </c>
      <c r="L469">
        <v>0.75</v>
      </c>
      <c r="M469">
        <v>0</v>
      </c>
      <c r="N469">
        <v>3</v>
      </c>
      <c r="O469">
        <v>10</v>
      </c>
      <c r="P469">
        <v>13</v>
      </c>
    </row>
    <row r="470" spans="1:16" x14ac:dyDescent="0.3">
      <c r="A470">
        <v>380</v>
      </c>
      <c r="B470" s="1">
        <v>40560</v>
      </c>
      <c r="C470">
        <v>1</v>
      </c>
      <c r="D470">
        <v>0</v>
      </c>
      <c r="E470">
        <v>1</v>
      </c>
      <c r="F470">
        <v>7</v>
      </c>
      <c r="G470" t="b">
        <v>1</v>
      </c>
      <c r="H470">
        <v>1</v>
      </c>
      <c r="I470">
        <v>2</v>
      </c>
      <c r="J470">
        <v>0.16</v>
      </c>
      <c r="K470">
        <v>0.18179999999999999</v>
      </c>
      <c r="L470">
        <v>0.5</v>
      </c>
      <c r="M470">
        <v>0.1343</v>
      </c>
      <c r="N470">
        <v>4</v>
      </c>
      <c r="O470">
        <v>9</v>
      </c>
      <c r="P470">
        <v>13</v>
      </c>
    </row>
    <row r="471" spans="1:16" x14ac:dyDescent="0.3">
      <c r="A471">
        <v>395</v>
      </c>
      <c r="B471" s="1">
        <v>40560</v>
      </c>
      <c r="C471">
        <v>1</v>
      </c>
      <c r="D471">
        <v>0</v>
      </c>
      <c r="E471">
        <v>1</v>
      </c>
      <c r="F471">
        <v>22</v>
      </c>
      <c r="G471" t="b">
        <v>1</v>
      </c>
      <c r="H471">
        <v>1</v>
      </c>
      <c r="I471">
        <v>3</v>
      </c>
      <c r="J471">
        <v>0.14000000000000001</v>
      </c>
      <c r="K471">
        <v>0.1212</v>
      </c>
      <c r="L471">
        <v>0.93</v>
      </c>
      <c r="M471">
        <v>0.25369999999999998</v>
      </c>
      <c r="N471">
        <v>0</v>
      </c>
      <c r="O471">
        <v>13</v>
      </c>
      <c r="P471">
        <v>13</v>
      </c>
    </row>
    <row r="472" spans="1:16" x14ac:dyDescent="0.3">
      <c r="A472">
        <v>432</v>
      </c>
      <c r="B472" s="1">
        <v>40563</v>
      </c>
      <c r="C472">
        <v>1</v>
      </c>
      <c r="D472">
        <v>0</v>
      </c>
      <c r="E472">
        <v>1</v>
      </c>
      <c r="F472">
        <v>0</v>
      </c>
      <c r="G472" t="b">
        <v>0</v>
      </c>
      <c r="H472">
        <v>4</v>
      </c>
      <c r="I472">
        <v>1</v>
      </c>
      <c r="J472">
        <v>0.26</v>
      </c>
      <c r="K472">
        <v>0.2273</v>
      </c>
      <c r="L472">
        <v>0.56000000000000005</v>
      </c>
      <c r="M472">
        <v>0.3881</v>
      </c>
      <c r="N472">
        <v>5</v>
      </c>
      <c r="O472">
        <v>8</v>
      </c>
      <c r="P472">
        <v>13</v>
      </c>
    </row>
    <row r="473" spans="1:16" x14ac:dyDescent="0.3">
      <c r="A473">
        <v>480</v>
      </c>
      <c r="B473" s="1">
        <v>40565</v>
      </c>
      <c r="C473">
        <v>1</v>
      </c>
      <c r="D473">
        <v>0</v>
      </c>
      <c r="E473">
        <v>1</v>
      </c>
      <c r="F473">
        <v>0</v>
      </c>
      <c r="G473" t="b">
        <v>0</v>
      </c>
      <c r="H473">
        <v>6</v>
      </c>
      <c r="I473">
        <v>1</v>
      </c>
      <c r="J473">
        <v>0.04</v>
      </c>
      <c r="K473">
        <v>3.0300000000000001E-2</v>
      </c>
      <c r="L473">
        <v>0.45</v>
      </c>
      <c r="M473">
        <v>0.25369999999999998</v>
      </c>
      <c r="N473">
        <v>0</v>
      </c>
      <c r="O473">
        <v>13</v>
      </c>
      <c r="P473">
        <v>13</v>
      </c>
    </row>
    <row r="474" spans="1:16" x14ac:dyDescent="0.3">
      <c r="A474">
        <v>504</v>
      </c>
      <c r="B474" s="1">
        <v>40566</v>
      </c>
      <c r="C474">
        <v>1</v>
      </c>
      <c r="D474">
        <v>0</v>
      </c>
      <c r="E474">
        <v>1</v>
      </c>
      <c r="F474">
        <v>1</v>
      </c>
      <c r="G474" t="b">
        <v>0</v>
      </c>
      <c r="H474">
        <v>0</v>
      </c>
      <c r="I474">
        <v>1</v>
      </c>
      <c r="J474">
        <v>0.04</v>
      </c>
      <c r="K474">
        <v>7.5800000000000006E-2</v>
      </c>
      <c r="L474">
        <v>0.56999999999999995</v>
      </c>
      <c r="M474">
        <v>0.1045</v>
      </c>
      <c r="N474">
        <v>1</v>
      </c>
      <c r="O474">
        <v>12</v>
      </c>
      <c r="P474">
        <v>13</v>
      </c>
    </row>
    <row r="475" spans="1:16" x14ac:dyDescent="0.3">
      <c r="A475">
        <v>69</v>
      </c>
      <c r="B475" s="1">
        <v>40546</v>
      </c>
      <c r="C475">
        <v>1</v>
      </c>
      <c r="D475">
        <v>0</v>
      </c>
      <c r="E475">
        <v>1</v>
      </c>
      <c r="F475">
        <v>23</v>
      </c>
      <c r="G475" t="b">
        <v>0</v>
      </c>
      <c r="H475">
        <v>1</v>
      </c>
      <c r="I475">
        <v>1</v>
      </c>
      <c r="J475">
        <v>0.18</v>
      </c>
      <c r="K475">
        <v>0.21210000000000001</v>
      </c>
      <c r="L475">
        <v>0.55000000000000004</v>
      </c>
      <c r="M475">
        <v>0.1045</v>
      </c>
      <c r="N475">
        <v>1</v>
      </c>
      <c r="O475">
        <v>11</v>
      </c>
      <c r="P475">
        <v>12</v>
      </c>
    </row>
    <row r="476" spans="1:16" x14ac:dyDescent="0.3">
      <c r="A476">
        <v>187</v>
      </c>
      <c r="B476" s="1">
        <v>40552</v>
      </c>
      <c r="C476">
        <v>1</v>
      </c>
      <c r="D476">
        <v>0</v>
      </c>
      <c r="E476">
        <v>1</v>
      </c>
      <c r="F476">
        <v>1</v>
      </c>
      <c r="G476" t="b">
        <v>0</v>
      </c>
      <c r="H476">
        <v>0</v>
      </c>
      <c r="I476">
        <v>1</v>
      </c>
      <c r="J476">
        <v>0.1</v>
      </c>
      <c r="K476">
        <v>6.0600000000000001E-2</v>
      </c>
      <c r="L476">
        <v>0.42</v>
      </c>
      <c r="M476">
        <v>0.4627</v>
      </c>
      <c r="N476">
        <v>0</v>
      </c>
      <c r="O476">
        <v>12</v>
      </c>
      <c r="P476">
        <v>12</v>
      </c>
    </row>
    <row r="477" spans="1:16" x14ac:dyDescent="0.3">
      <c r="A477">
        <v>234</v>
      </c>
      <c r="B477" s="1">
        <v>40554</v>
      </c>
      <c r="C477">
        <v>1</v>
      </c>
      <c r="D477">
        <v>0</v>
      </c>
      <c r="E477">
        <v>1</v>
      </c>
      <c r="F477">
        <v>0</v>
      </c>
      <c r="G477" t="b">
        <v>0</v>
      </c>
      <c r="H477">
        <v>2</v>
      </c>
      <c r="I477">
        <v>1</v>
      </c>
      <c r="J477">
        <v>0.14000000000000001</v>
      </c>
      <c r="K477">
        <v>0.16669999999999999</v>
      </c>
      <c r="L477">
        <v>0.59</v>
      </c>
      <c r="M477">
        <v>0.1045</v>
      </c>
      <c r="N477">
        <v>2</v>
      </c>
      <c r="O477">
        <v>10</v>
      </c>
      <c r="P477">
        <v>12</v>
      </c>
    </row>
    <row r="478" spans="1:16" x14ac:dyDescent="0.3">
      <c r="A478">
        <v>327</v>
      </c>
      <c r="B478" s="1">
        <v>40558</v>
      </c>
      <c r="C478">
        <v>1</v>
      </c>
      <c r="D478">
        <v>0</v>
      </c>
      <c r="E478">
        <v>1</v>
      </c>
      <c r="F478">
        <v>2</v>
      </c>
      <c r="G478" t="b">
        <v>0</v>
      </c>
      <c r="H478">
        <v>6</v>
      </c>
      <c r="I478">
        <v>2</v>
      </c>
      <c r="J478">
        <v>0.16</v>
      </c>
      <c r="K478">
        <v>0.19700000000000001</v>
      </c>
      <c r="L478">
        <v>0.59</v>
      </c>
      <c r="M478">
        <v>8.9599999999999999E-2</v>
      </c>
      <c r="N478">
        <v>0</v>
      </c>
      <c r="O478">
        <v>12</v>
      </c>
      <c r="P478">
        <v>12</v>
      </c>
    </row>
    <row r="479" spans="1:16" x14ac:dyDescent="0.3">
      <c r="A479">
        <v>481</v>
      </c>
      <c r="B479" s="1">
        <v>40565</v>
      </c>
      <c r="C479">
        <v>1</v>
      </c>
      <c r="D479">
        <v>0</v>
      </c>
      <c r="E479">
        <v>1</v>
      </c>
      <c r="F479">
        <v>1</v>
      </c>
      <c r="G479" t="b">
        <v>0</v>
      </c>
      <c r="H479">
        <v>6</v>
      </c>
      <c r="I479">
        <v>2</v>
      </c>
      <c r="J479">
        <v>0.04</v>
      </c>
      <c r="K479">
        <v>0</v>
      </c>
      <c r="L479">
        <v>0.41</v>
      </c>
      <c r="M479">
        <v>0.3881</v>
      </c>
      <c r="N479">
        <v>3</v>
      </c>
      <c r="O479">
        <v>9</v>
      </c>
      <c r="P479">
        <v>12</v>
      </c>
    </row>
    <row r="480" spans="1:16" x14ac:dyDescent="0.3">
      <c r="A480">
        <v>92</v>
      </c>
      <c r="B480" s="1">
        <v>40547</v>
      </c>
      <c r="C480">
        <v>1</v>
      </c>
      <c r="D480">
        <v>0</v>
      </c>
      <c r="E480">
        <v>1</v>
      </c>
      <c r="F480">
        <v>23</v>
      </c>
      <c r="G480" t="b">
        <v>0</v>
      </c>
      <c r="H480">
        <v>2</v>
      </c>
      <c r="I480">
        <v>1</v>
      </c>
      <c r="J480">
        <v>0.2</v>
      </c>
      <c r="K480">
        <v>0.2273</v>
      </c>
      <c r="L480">
        <v>0.69</v>
      </c>
      <c r="M480">
        <v>8.9599999999999999E-2</v>
      </c>
      <c r="N480">
        <v>2</v>
      </c>
      <c r="O480">
        <v>9</v>
      </c>
      <c r="P480">
        <v>11</v>
      </c>
    </row>
    <row r="481" spans="1:16" x14ac:dyDescent="0.3">
      <c r="A481">
        <v>116</v>
      </c>
      <c r="B481" s="1">
        <v>40549</v>
      </c>
      <c r="C481">
        <v>1</v>
      </c>
      <c r="D481">
        <v>0</v>
      </c>
      <c r="E481">
        <v>1</v>
      </c>
      <c r="F481">
        <v>0</v>
      </c>
      <c r="G481" t="b">
        <v>0</v>
      </c>
      <c r="H481">
        <v>4</v>
      </c>
      <c r="I481">
        <v>1</v>
      </c>
      <c r="J481">
        <v>0.18</v>
      </c>
      <c r="K481">
        <v>0.2424</v>
      </c>
      <c r="L481">
        <v>0.55000000000000004</v>
      </c>
      <c r="M481">
        <v>0</v>
      </c>
      <c r="N481">
        <v>0</v>
      </c>
      <c r="O481">
        <v>11</v>
      </c>
      <c r="P481">
        <v>11</v>
      </c>
    </row>
    <row r="482" spans="1:16" x14ac:dyDescent="0.3">
      <c r="A482">
        <v>188</v>
      </c>
      <c r="B482" s="1">
        <v>40552</v>
      </c>
      <c r="C482">
        <v>1</v>
      </c>
      <c r="D482">
        <v>0</v>
      </c>
      <c r="E482">
        <v>1</v>
      </c>
      <c r="F482">
        <v>2</v>
      </c>
      <c r="G482" t="b">
        <v>0</v>
      </c>
      <c r="H482">
        <v>0</v>
      </c>
      <c r="I482">
        <v>1</v>
      </c>
      <c r="J482">
        <v>0.1</v>
      </c>
      <c r="K482">
        <v>6.0600000000000001E-2</v>
      </c>
      <c r="L482">
        <v>0.46</v>
      </c>
      <c r="M482">
        <v>0.4627</v>
      </c>
      <c r="N482">
        <v>0</v>
      </c>
      <c r="O482">
        <v>11</v>
      </c>
      <c r="P482">
        <v>11</v>
      </c>
    </row>
    <row r="483" spans="1:16" x14ac:dyDescent="0.3">
      <c r="A483">
        <v>482</v>
      </c>
      <c r="B483" s="1">
        <v>40565</v>
      </c>
      <c r="C483">
        <v>1</v>
      </c>
      <c r="D483">
        <v>0</v>
      </c>
      <c r="E483">
        <v>1</v>
      </c>
      <c r="F483">
        <v>2</v>
      </c>
      <c r="G483" t="b">
        <v>0</v>
      </c>
      <c r="H483">
        <v>6</v>
      </c>
      <c r="I483">
        <v>2</v>
      </c>
      <c r="J483">
        <v>0.04</v>
      </c>
      <c r="K483">
        <v>3.0300000000000001E-2</v>
      </c>
      <c r="L483">
        <v>0.41</v>
      </c>
      <c r="M483">
        <v>0.25369999999999998</v>
      </c>
      <c r="N483">
        <v>0</v>
      </c>
      <c r="O483">
        <v>11</v>
      </c>
      <c r="P483">
        <v>11</v>
      </c>
    </row>
    <row r="484" spans="1:16" x14ac:dyDescent="0.3">
      <c r="A484">
        <v>194</v>
      </c>
      <c r="B484" s="1">
        <v>40552</v>
      </c>
      <c r="C484">
        <v>1</v>
      </c>
      <c r="D484">
        <v>0</v>
      </c>
      <c r="E484">
        <v>1</v>
      </c>
      <c r="F484">
        <v>8</v>
      </c>
      <c r="G484" t="b">
        <v>0</v>
      </c>
      <c r="H484">
        <v>0</v>
      </c>
      <c r="I484">
        <v>1</v>
      </c>
      <c r="J484">
        <v>0.1</v>
      </c>
      <c r="K484">
        <v>9.0899999999999995E-2</v>
      </c>
      <c r="L484">
        <v>0.49</v>
      </c>
      <c r="M484">
        <v>0.28360000000000002</v>
      </c>
      <c r="N484">
        <v>0</v>
      </c>
      <c r="O484">
        <v>10</v>
      </c>
      <c r="P484">
        <v>10</v>
      </c>
    </row>
    <row r="485" spans="1:16" x14ac:dyDescent="0.3">
      <c r="A485">
        <v>332</v>
      </c>
      <c r="B485" s="1">
        <v>40558</v>
      </c>
      <c r="C485">
        <v>1</v>
      </c>
      <c r="D485">
        <v>0</v>
      </c>
      <c r="E485">
        <v>1</v>
      </c>
      <c r="F485">
        <v>7</v>
      </c>
      <c r="G485" t="b">
        <v>0</v>
      </c>
      <c r="H485">
        <v>6</v>
      </c>
      <c r="I485">
        <v>1</v>
      </c>
      <c r="J485">
        <v>0.14000000000000001</v>
      </c>
      <c r="K485">
        <v>0.21210000000000001</v>
      </c>
      <c r="L485">
        <v>0.63</v>
      </c>
      <c r="M485">
        <v>0</v>
      </c>
      <c r="N485">
        <v>1</v>
      </c>
      <c r="O485">
        <v>9</v>
      </c>
      <c r="P485">
        <v>10</v>
      </c>
    </row>
    <row r="486" spans="1:16" x14ac:dyDescent="0.3">
      <c r="A486">
        <v>574</v>
      </c>
      <c r="B486" s="1">
        <v>40569</v>
      </c>
      <c r="C486">
        <v>1</v>
      </c>
      <c r="D486">
        <v>0</v>
      </c>
      <c r="E486">
        <v>1</v>
      </c>
      <c r="F486">
        <v>2</v>
      </c>
      <c r="G486" t="b">
        <v>0</v>
      </c>
      <c r="H486">
        <v>3</v>
      </c>
      <c r="I486">
        <v>3</v>
      </c>
      <c r="J486">
        <v>0.22</v>
      </c>
      <c r="K486">
        <v>0.2273</v>
      </c>
      <c r="L486">
        <v>0.69</v>
      </c>
      <c r="M486">
        <v>0.19400000000000001</v>
      </c>
      <c r="N486">
        <v>3</v>
      </c>
      <c r="O486">
        <v>7</v>
      </c>
      <c r="P486">
        <v>10</v>
      </c>
    </row>
    <row r="487" spans="1:16" x14ac:dyDescent="0.3">
      <c r="A487">
        <v>27</v>
      </c>
      <c r="B487" s="1">
        <v>40545</v>
      </c>
      <c r="C487">
        <v>1</v>
      </c>
      <c r="D487">
        <v>0</v>
      </c>
      <c r="E487">
        <v>1</v>
      </c>
      <c r="F487">
        <v>2</v>
      </c>
      <c r="G487" t="b">
        <v>0</v>
      </c>
      <c r="H487">
        <v>0</v>
      </c>
      <c r="I487">
        <v>2</v>
      </c>
      <c r="J487">
        <v>0.42</v>
      </c>
      <c r="K487">
        <v>0.42420000000000002</v>
      </c>
      <c r="L487">
        <v>1</v>
      </c>
      <c r="M487">
        <v>0.28360000000000002</v>
      </c>
      <c r="N487">
        <v>1</v>
      </c>
      <c r="O487">
        <v>8</v>
      </c>
      <c r="P487">
        <v>9</v>
      </c>
    </row>
    <row r="488" spans="1:16" x14ac:dyDescent="0.3">
      <c r="A488">
        <v>46</v>
      </c>
      <c r="B488" s="1">
        <v>40545</v>
      </c>
      <c r="C488">
        <v>1</v>
      </c>
      <c r="D488">
        <v>0</v>
      </c>
      <c r="E488">
        <v>1</v>
      </c>
      <c r="F488">
        <v>22</v>
      </c>
      <c r="G488" t="b">
        <v>0</v>
      </c>
      <c r="H488">
        <v>0</v>
      </c>
      <c r="I488">
        <v>1</v>
      </c>
      <c r="J488">
        <v>0.24</v>
      </c>
      <c r="K488">
        <v>0.21210000000000001</v>
      </c>
      <c r="L488">
        <v>0.44</v>
      </c>
      <c r="M488">
        <v>0.29849999999999999</v>
      </c>
      <c r="N488">
        <v>0</v>
      </c>
      <c r="O488">
        <v>9</v>
      </c>
      <c r="P488">
        <v>9</v>
      </c>
    </row>
    <row r="489" spans="1:16" x14ac:dyDescent="0.3">
      <c r="A489">
        <v>169</v>
      </c>
      <c r="B489" s="1">
        <v>40551</v>
      </c>
      <c r="C489">
        <v>1</v>
      </c>
      <c r="D489">
        <v>0</v>
      </c>
      <c r="E489">
        <v>1</v>
      </c>
      <c r="F489">
        <v>7</v>
      </c>
      <c r="G489" t="b">
        <v>0</v>
      </c>
      <c r="H489">
        <v>6</v>
      </c>
      <c r="I489">
        <v>2</v>
      </c>
      <c r="J489">
        <v>0.16</v>
      </c>
      <c r="K489">
        <v>0.18179999999999999</v>
      </c>
      <c r="L489">
        <v>0.74</v>
      </c>
      <c r="M489">
        <v>0.1045</v>
      </c>
      <c r="N489">
        <v>1</v>
      </c>
      <c r="O489">
        <v>8</v>
      </c>
      <c r="P489">
        <v>9</v>
      </c>
    </row>
    <row r="490" spans="1:16" x14ac:dyDescent="0.3">
      <c r="A490">
        <v>549</v>
      </c>
      <c r="B490" s="1">
        <v>40568</v>
      </c>
      <c r="C490">
        <v>1</v>
      </c>
      <c r="D490">
        <v>0</v>
      </c>
      <c r="E490">
        <v>1</v>
      </c>
      <c r="F490">
        <v>0</v>
      </c>
      <c r="G490" t="b">
        <v>0</v>
      </c>
      <c r="H490">
        <v>2</v>
      </c>
      <c r="I490">
        <v>2</v>
      </c>
      <c r="J490">
        <v>0.16</v>
      </c>
      <c r="K490">
        <v>0.13639999999999999</v>
      </c>
      <c r="L490">
        <v>0.69</v>
      </c>
      <c r="M490">
        <v>0.28360000000000002</v>
      </c>
      <c r="N490">
        <v>3</v>
      </c>
      <c r="O490">
        <v>6</v>
      </c>
      <c r="P490">
        <v>9</v>
      </c>
    </row>
    <row r="491" spans="1:16" x14ac:dyDescent="0.3">
      <c r="A491">
        <v>553</v>
      </c>
      <c r="B491" s="1">
        <v>40568</v>
      </c>
      <c r="C491">
        <v>1</v>
      </c>
      <c r="D491">
        <v>0</v>
      </c>
      <c r="E491">
        <v>1</v>
      </c>
      <c r="F491">
        <v>5</v>
      </c>
      <c r="G491" t="b">
        <v>0</v>
      </c>
      <c r="H491">
        <v>2</v>
      </c>
      <c r="I491">
        <v>1</v>
      </c>
      <c r="J491">
        <v>0.14000000000000001</v>
      </c>
      <c r="K491">
        <v>0.13639999999999999</v>
      </c>
      <c r="L491">
        <v>0.74</v>
      </c>
      <c r="M491">
        <v>0.22389999999999999</v>
      </c>
      <c r="N491">
        <v>0</v>
      </c>
      <c r="O491">
        <v>9</v>
      </c>
      <c r="P491">
        <v>9</v>
      </c>
    </row>
    <row r="492" spans="1:16" x14ac:dyDescent="0.3">
      <c r="A492">
        <v>596</v>
      </c>
      <c r="B492" s="1">
        <v>40571</v>
      </c>
      <c r="C492">
        <v>1</v>
      </c>
      <c r="D492">
        <v>0</v>
      </c>
      <c r="E492">
        <v>1</v>
      </c>
      <c r="F492">
        <v>0</v>
      </c>
      <c r="G492" t="b">
        <v>0</v>
      </c>
      <c r="H492">
        <v>5</v>
      </c>
      <c r="I492">
        <v>2</v>
      </c>
      <c r="J492">
        <v>0.2</v>
      </c>
      <c r="K492">
        <v>0.21210000000000001</v>
      </c>
      <c r="L492">
        <v>0.75</v>
      </c>
      <c r="M492">
        <v>0.1343</v>
      </c>
      <c r="N492">
        <v>0</v>
      </c>
      <c r="O492">
        <v>9</v>
      </c>
      <c r="P492">
        <v>9</v>
      </c>
    </row>
    <row r="493" spans="1:16" x14ac:dyDescent="0.3">
      <c r="A493">
        <v>9</v>
      </c>
      <c r="B493" s="1">
        <v>40544</v>
      </c>
      <c r="C493">
        <v>1</v>
      </c>
      <c r="D493">
        <v>0</v>
      </c>
      <c r="E493">
        <v>1</v>
      </c>
      <c r="F493">
        <v>8</v>
      </c>
      <c r="G493" t="b">
        <v>0</v>
      </c>
      <c r="H493">
        <v>6</v>
      </c>
      <c r="I493">
        <v>1</v>
      </c>
      <c r="J493">
        <v>0.24</v>
      </c>
      <c r="L493">
        <v>0.75</v>
      </c>
      <c r="M493">
        <v>0</v>
      </c>
      <c r="N493">
        <v>1</v>
      </c>
      <c r="O493">
        <v>7</v>
      </c>
      <c r="P493">
        <v>8</v>
      </c>
    </row>
    <row r="494" spans="1:16" x14ac:dyDescent="0.3">
      <c r="A494">
        <v>32</v>
      </c>
      <c r="B494" s="1">
        <v>40545</v>
      </c>
      <c r="C494">
        <v>1</v>
      </c>
      <c r="D494">
        <v>0</v>
      </c>
      <c r="E494">
        <v>1</v>
      </c>
      <c r="F494">
        <v>8</v>
      </c>
      <c r="G494" t="b">
        <v>0</v>
      </c>
      <c r="H494">
        <v>0</v>
      </c>
      <c r="I494">
        <v>3</v>
      </c>
      <c r="J494">
        <v>0.4</v>
      </c>
      <c r="K494">
        <v>0.40910000000000002</v>
      </c>
      <c r="L494">
        <v>0.71</v>
      </c>
      <c r="M494">
        <v>0.22389999999999999</v>
      </c>
      <c r="N494">
        <v>0</v>
      </c>
      <c r="O494">
        <v>8</v>
      </c>
      <c r="P494">
        <v>8</v>
      </c>
    </row>
    <row r="495" spans="1:16" x14ac:dyDescent="0.3">
      <c r="A495">
        <v>47</v>
      </c>
      <c r="B495" s="1">
        <v>40545</v>
      </c>
      <c r="C495">
        <v>1</v>
      </c>
      <c r="D495">
        <v>0</v>
      </c>
      <c r="E495">
        <v>1</v>
      </c>
      <c r="F495">
        <v>23</v>
      </c>
      <c r="G495" t="b">
        <v>0</v>
      </c>
      <c r="H495">
        <v>0</v>
      </c>
      <c r="I495">
        <v>1</v>
      </c>
      <c r="J495">
        <v>0.22</v>
      </c>
      <c r="K495">
        <v>0.2273</v>
      </c>
      <c r="L495">
        <v>0.47</v>
      </c>
      <c r="M495">
        <v>0.16420000000000001</v>
      </c>
      <c r="N495">
        <v>0</v>
      </c>
      <c r="O495">
        <v>8</v>
      </c>
      <c r="P495">
        <v>8</v>
      </c>
    </row>
    <row r="496" spans="1:16" x14ac:dyDescent="0.3">
      <c r="A496">
        <v>306</v>
      </c>
      <c r="B496" s="1">
        <v>40557</v>
      </c>
      <c r="C496">
        <v>1</v>
      </c>
      <c r="D496">
        <v>0</v>
      </c>
      <c r="E496">
        <v>1</v>
      </c>
      <c r="F496">
        <v>5</v>
      </c>
      <c r="G496" t="b">
        <v>0</v>
      </c>
      <c r="H496">
        <v>5</v>
      </c>
      <c r="I496">
        <v>1</v>
      </c>
      <c r="J496">
        <v>0.1</v>
      </c>
      <c r="K496">
        <v>0.13639999999999999</v>
      </c>
      <c r="L496">
        <v>0.54</v>
      </c>
      <c r="M496">
        <v>8.9599999999999999E-2</v>
      </c>
      <c r="N496">
        <v>0</v>
      </c>
      <c r="O496">
        <v>8</v>
      </c>
      <c r="P496">
        <v>8</v>
      </c>
    </row>
    <row r="497" spans="1:16" x14ac:dyDescent="0.3">
      <c r="A497">
        <v>328</v>
      </c>
      <c r="B497" s="1">
        <v>40558</v>
      </c>
      <c r="C497">
        <v>1</v>
      </c>
      <c r="D497">
        <v>0</v>
      </c>
      <c r="E497">
        <v>1</v>
      </c>
      <c r="F497">
        <v>3</v>
      </c>
      <c r="G497" t="b">
        <v>0</v>
      </c>
      <c r="H497">
        <v>6</v>
      </c>
      <c r="I497">
        <v>2</v>
      </c>
      <c r="J497">
        <v>0.16</v>
      </c>
      <c r="K497">
        <v>0.2273</v>
      </c>
      <c r="L497">
        <v>0.59</v>
      </c>
      <c r="M497">
        <v>0</v>
      </c>
      <c r="N497">
        <v>1</v>
      </c>
      <c r="O497">
        <v>7</v>
      </c>
      <c r="P497">
        <v>8</v>
      </c>
    </row>
    <row r="498" spans="1:16" x14ac:dyDescent="0.3">
      <c r="A498">
        <v>375</v>
      </c>
      <c r="B498" s="1">
        <v>40560</v>
      </c>
      <c r="C498">
        <v>1</v>
      </c>
      <c r="D498">
        <v>0</v>
      </c>
      <c r="E498">
        <v>1</v>
      </c>
      <c r="F498">
        <v>2</v>
      </c>
      <c r="G498" t="b">
        <v>1</v>
      </c>
      <c r="H498">
        <v>1</v>
      </c>
      <c r="I498">
        <v>2</v>
      </c>
      <c r="J498">
        <v>0.18</v>
      </c>
      <c r="K498">
        <v>0.16669999999999999</v>
      </c>
      <c r="L498">
        <v>0.43</v>
      </c>
      <c r="M498">
        <v>0.25369999999999998</v>
      </c>
      <c r="N498">
        <v>0</v>
      </c>
      <c r="O498">
        <v>8</v>
      </c>
      <c r="P498">
        <v>8</v>
      </c>
    </row>
    <row r="499" spans="1:16" x14ac:dyDescent="0.3">
      <c r="A499">
        <v>486</v>
      </c>
      <c r="B499" s="1">
        <v>40565</v>
      </c>
      <c r="C499">
        <v>1</v>
      </c>
      <c r="D499">
        <v>0</v>
      </c>
      <c r="E499">
        <v>1</v>
      </c>
      <c r="F499">
        <v>7</v>
      </c>
      <c r="G499" t="b">
        <v>0</v>
      </c>
      <c r="H499">
        <v>6</v>
      </c>
      <c r="I499">
        <v>1</v>
      </c>
      <c r="J499">
        <v>0.02</v>
      </c>
      <c r="K499">
        <v>1.52E-2</v>
      </c>
      <c r="L499">
        <v>0.44</v>
      </c>
      <c r="M499">
        <v>0.28360000000000002</v>
      </c>
      <c r="N499">
        <v>0</v>
      </c>
      <c r="O499">
        <v>8</v>
      </c>
      <c r="P499">
        <v>8</v>
      </c>
    </row>
    <row r="500" spans="1:16" x14ac:dyDescent="0.3">
      <c r="A500">
        <v>576</v>
      </c>
      <c r="B500" s="1">
        <v>40569</v>
      </c>
      <c r="C500">
        <v>1</v>
      </c>
      <c r="D500">
        <v>0</v>
      </c>
      <c r="E500">
        <v>1</v>
      </c>
      <c r="F500">
        <v>6</v>
      </c>
      <c r="G500" t="b">
        <v>0</v>
      </c>
      <c r="H500">
        <v>3</v>
      </c>
      <c r="I500">
        <v>3</v>
      </c>
      <c r="J500">
        <v>0.2</v>
      </c>
      <c r="K500">
        <v>0.18179999999999999</v>
      </c>
      <c r="L500">
        <v>0.86</v>
      </c>
      <c r="M500">
        <v>0.28360000000000002</v>
      </c>
      <c r="N500">
        <v>0</v>
      </c>
      <c r="O500">
        <v>8</v>
      </c>
      <c r="P500">
        <v>8</v>
      </c>
    </row>
    <row r="501" spans="1:16" x14ac:dyDescent="0.3">
      <c r="A501">
        <v>140</v>
      </c>
      <c r="B501" s="1">
        <v>40550</v>
      </c>
      <c r="C501">
        <v>1</v>
      </c>
      <c r="D501">
        <v>0</v>
      </c>
      <c r="E501">
        <v>1</v>
      </c>
      <c r="F501">
        <v>1</v>
      </c>
      <c r="G501" t="b">
        <v>0</v>
      </c>
      <c r="H501">
        <v>5</v>
      </c>
      <c r="I501">
        <v>2</v>
      </c>
      <c r="J501">
        <v>0.2</v>
      </c>
      <c r="K501">
        <v>0.19700000000000001</v>
      </c>
      <c r="L501">
        <v>0.69</v>
      </c>
      <c r="M501">
        <v>0.22389999999999999</v>
      </c>
      <c r="N501">
        <v>2</v>
      </c>
      <c r="O501">
        <v>5</v>
      </c>
      <c r="P501">
        <v>7</v>
      </c>
    </row>
    <row r="502" spans="1:16" x14ac:dyDescent="0.3">
      <c r="A502">
        <v>165</v>
      </c>
      <c r="B502" s="1">
        <v>40551</v>
      </c>
      <c r="C502">
        <v>1</v>
      </c>
      <c r="D502">
        <v>0</v>
      </c>
      <c r="E502">
        <v>1</v>
      </c>
      <c r="F502">
        <v>3</v>
      </c>
      <c r="G502" t="b">
        <v>0</v>
      </c>
      <c r="H502">
        <v>6</v>
      </c>
      <c r="I502">
        <v>3</v>
      </c>
      <c r="J502">
        <v>0.18</v>
      </c>
      <c r="K502">
        <v>0.19700000000000001</v>
      </c>
      <c r="L502">
        <v>0.55000000000000004</v>
      </c>
      <c r="M502">
        <v>0.16420000000000001</v>
      </c>
      <c r="N502">
        <v>0</v>
      </c>
      <c r="O502">
        <v>7</v>
      </c>
      <c r="P502">
        <v>7</v>
      </c>
    </row>
    <row r="503" spans="1:16" x14ac:dyDescent="0.3">
      <c r="A503">
        <v>256</v>
      </c>
      <c r="B503" s="1">
        <v>40555</v>
      </c>
      <c r="C503">
        <v>1</v>
      </c>
      <c r="D503">
        <v>0</v>
      </c>
      <c r="E503">
        <v>1</v>
      </c>
      <c r="F503">
        <v>0</v>
      </c>
      <c r="G503" t="b">
        <v>0</v>
      </c>
      <c r="H503">
        <v>3</v>
      </c>
      <c r="I503">
        <v>2</v>
      </c>
      <c r="J503">
        <v>0.16</v>
      </c>
      <c r="K503">
        <v>0.19700000000000001</v>
      </c>
      <c r="L503">
        <v>0.86</v>
      </c>
      <c r="M503">
        <v>8.9599999999999999E-2</v>
      </c>
      <c r="N503">
        <v>0</v>
      </c>
      <c r="O503">
        <v>7</v>
      </c>
      <c r="P503">
        <v>7</v>
      </c>
    </row>
    <row r="504" spans="1:16" x14ac:dyDescent="0.3">
      <c r="A504">
        <v>278</v>
      </c>
      <c r="B504" s="1">
        <v>40556</v>
      </c>
      <c r="C504">
        <v>1</v>
      </c>
      <c r="D504">
        <v>0</v>
      </c>
      <c r="E504">
        <v>1</v>
      </c>
      <c r="F504">
        <v>0</v>
      </c>
      <c r="G504" t="b">
        <v>0</v>
      </c>
      <c r="H504">
        <v>4</v>
      </c>
      <c r="I504">
        <v>1</v>
      </c>
      <c r="J504">
        <v>0.14000000000000001</v>
      </c>
      <c r="K504">
        <v>0.1212</v>
      </c>
      <c r="L504">
        <v>0.59</v>
      </c>
      <c r="M504">
        <v>0.28360000000000002</v>
      </c>
      <c r="N504">
        <v>1</v>
      </c>
      <c r="O504">
        <v>6</v>
      </c>
      <c r="P504">
        <v>7</v>
      </c>
    </row>
    <row r="505" spans="1:16" x14ac:dyDescent="0.3">
      <c r="A505">
        <v>410</v>
      </c>
      <c r="B505" s="1">
        <v>40562</v>
      </c>
      <c r="C505">
        <v>1</v>
      </c>
      <c r="D505">
        <v>0</v>
      </c>
      <c r="E505">
        <v>1</v>
      </c>
      <c r="F505">
        <v>1</v>
      </c>
      <c r="G505" t="b">
        <v>0</v>
      </c>
      <c r="H505">
        <v>3</v>
      </c>
      <c r="I505">
        <v>3</v>
      </c>
      <c r="J505">
        <v>0.22</v>
      </c>
      <c r="K505">
        <v>0.2273</v>
      </c>
      <c r="L505">
        <v>0.93</v>
      </c>
      <c r="M505">
        <v>0.1343</v>
      </c>
      <c r="N505">
        <v>1</v>
      </c>
      <c r="O505">
        <v>6</v>
      </c>
      <c r="P505">
        <v>7</v>
      </c>
    </row>
    <row r="506" spans="1:16" x14ac:dyDescent="0.3">
      <c r="A506">
        <v>413</v>
      </c>
      <c r="B506" s="1">
        <v>40562</v>
      </c>
      <c r="C506">
        <v>1</v>
      </c>
      <c r="D506">
        <v>0</v>
      </c>
      <c r="E506">
        <v>1</v>
      </c>
      <c r="F506">
        <v>5</v>
      </c>
      <c r="G506" t="b">
        <v>0</v>
      </c>
      <c r="H506">
        <v>3</v>
      </c>
      <c r="I506">
        <v>2</v>
      </c>
      <c r="J506">
        <v>0.22</v>
      </c>
      <c r="K506">
        <v>0.2576</v>
      </c>
      <c r="L506">
        <v>0.93</v>
      </c>
      <c r="M506">
        <v>8.9599999999999999E-2</v>
      </c>
      <c r="N506">
        <v>0</v>
      </c>
      <c r="O506">
        <v>7</v>
      </c>
      <c r="P506">
        <v>7</v>
      </c>
    </row>
    <row r="507" spans="1:16" x14ac:dyDescent="0.3">
      <c r="A507">
        <v>483</v>
      </c>
      <c r="B507" s="1">
        <v>40565</v>
      </c>
      <c r="C507">
        <v>1</v>
      </c>
      <c r="D507">
        <v>0</v>
      </c>
      <c r="E507">
        <v>1</v>
      </c>
      <c r="F507">
        <v>3</v>
      </c>
      <c r="G507" t="b">
        <v>0</v>
      </c>
      <c r="H507">
        <v>6</v>
      </c>
      <c r="I507">
        <v>2</v>
      </c>
      <c r="J507">
        <v>0.04</v>
      </c>
      <c r="K507">
        <v>3.0300000000000001E-2</v>
      </c>
      <c r="L507">
        <v>0.41</v>
      </c>
      <c r="M507">
        <v>0.28360000000000002</v>
      </c>
      <c r="N507">
        <v>1</v>
      </c>
      <c r="O507">
        <v>6</v>
      </c>
      <c r="P507">
        <v>7</v>
      </c>
    </row>
    <row r="508" spans="1:16" x14ac:dyDescent="0.3">
      <c r="A508">
        <v>526</v>
      </c>
      <c r="B508" s="1">
        <v>40567</v>
      </c>
      <c r="C508">
        <v>1</v>
      </c>
      <c r="D508">
        <v>0</v>
      </c>
      <c r="E508">
        <v>1</v>
      </c>
      <c r="F508">
        <v>0</v>
      </c>
      <c r="G508" t="b">
        <v>0</v>
      </c>
      <c r="H508">
        <v>1</v>
      </c>
      <c r="I508">
        <v>1</v>
      </c>
      <c r="J508">
        <v>0.06</v>
      </c>
      <c r="K508">
        <v>6.0600000000000001E-2</v>
      </c>
      <c r="L508">
        <v>0.41</v>
      </c>
      <c r="M508">
        <v>0.19400000000000001</v>
      </c>
      <c r="N508">
        <v>0</v>
      </c>
      <c r="O508">
        <v>7</v>
      </c>
      <c r="P508">
        <v>7</v>
      </c>
    </row>
    <row r="509" spans="1:16" x14ac:dyDescent="0.3">
      <c r="A509">
        <v>28</v>
      </c>
      <c r="B509" s="1">
        <v>40545</v>
      </c>
      <c r="C509">
        <v>1</v>
      </c>
      <c r="D509">
        <v>0</v>
      </c>
      <c r="E509">
        <v>1</v>
      </c>
      <c r="F509">
        <v>3</v>
      </c>
      <c r="G509" t="b">
        <v>0</v>
      </c>
      <c r="H509">
        <v>0</v>
      </c>
      <c r="I509">
        <v>2</v>
      </c>
      <c r="J509">
        <v>0.46</v>
      </c>
      <c r="K509">
        <v>0.45450000000000002</v>
      </c>
      <c r="L509">
        <v>0.94</v>
      </c>
      <c r="M509">
        <v>0.19400000000000001</v>
      </c>
      <c r="N509">
        <v>2</v>
      </c>
      <c r="O509">
        <v>4</v>
      </c>
      <c r="P509">
        <v>6</v>
      </c>
    </row>
    <row r="510" spans="1:16" x14ac:dyDescent="0.3">
      <c r="A510">
        <v>93</v>
      </c>
      <c r="B510" s="1">
        <v>40548</v>
      </c>
      <c r="C510">
        <v>1</v>
      </c>
      <c r="D510">
        <v>0</v>
      </c>
      <c r="E510">
        <v>1</v>
      </c>
      <c r="F510">
        <v>0</v>
      </c>
      <c r="G510" t="b">
        <v>0</v>
      </c>
      <c r="H510">
        <v>3</v>
      </c>
      <c r="I510">
        <v>1</v>
      </c>
      <c r="J510">
        <v>0.2</v>
      </c>
      <c r="K510">
        <v>0.2576</v>
      </c>
      <c r="L510">
        <v>0.64</v>
      </c>
      <c r="M510">
        <v>0</v>
      </c>
      <c r="N510">
        <v>0</v>
      </c>
      <c r="O510">
        <v>6</v>
      </c>
      <c r="P510">
        <v>6</v>
      </c>
    </row>
    <row r="511" spans="1:16" x14ac:dyDescent="0.3">
      <c r="A511">
        <v>94</v>
      </c>
      <c r="B511" s="1">
        <v>40548</v>
      </c>
      <c r="C511">
        <v>1</v>
      </c>
      <c r="D511">
        <v>0</v>
      </c>
      <c r="E511">
        <v>1</v>
      </c>
      <c r="F511">
        <v>1</v>
      </c>
      <c r="G511" t="b">
        <v>0</v>
      </c>
      <c r="H511">
        <v>3</v>
      </c>
      <c r="I511">
        <v>1</v>
      </c>
      <c r="J511">
        <v>0.16</v>
      </c>
      <c r="K511">
        <v>0.19700000000000001</v>
      </c>
      <c r="L511">
        <v>0.74</v>
      </c>
      <c r="M511">
        <v>8.9599999999999999E-2</v>
      </c>
      <c r="N511">
        <v>0</v>
      </c>
      <c r="O511">
        <v>6</v>
      </c>
      <c r="P511">
        <v>6</v>
      </c>
    </row>
    <row r="512" spans="1:16" x14ac:dyDescent="0.3">
      <c r="A512">
        <v>193</v>
      </c>
      <c r="B512" s="1">
        <v>40552</v>
      </c>
      <c r="C512">
        <v>1</v>
      </c>
      <c r="D512">
        <v>0</v>
      </c>
      <c r="E512">
        <v>1</v>
      </c>
      <c r="F512">
        <v>7</v>
      </c>
      <c r="G512" t="b">
        <v>0</v>
      </c>
      <c r="H512">
        <v>0</v>
      </c>
      <c r="I512">
        <v>1</v>
      </c>
      <c r="J512">
        <v>0.08</v>
      </c>
      <c r="K512">
        <v>9.0899999999999995E-2</v>
      </c>
      <c r="L512">
        <v>0.53</v>
      </c>
      <c r="M512">
        <v>0.19400000000000001</v>
      </c>
      <c r="N512">
        <v>1</v>
      </c>
      <c r="O512">
        <v>5</v>
      </c>
      <c r="P512">
        <v>6</v>
      </c>
    </row>
    <row r="513" spans="1:16" x14ac:dyDescent="0.3">
      <c r="A513">
        <v>209</v>
      </c>
      <c r="B513" s="1">
        <v>40552</v>
      </c>
      <c r="C513">
        <v>1</v>
      </c>
      <c r="D513">
        <v>0</v>
      </c>
      <c r="E513">
        <v>1</v>
      </c>
      <c r="F513">
        <v>23</v>
      </c>
      <c r="G513" t="b">
        <v>0</v>
      </c>
      <c r="H513">
        <v>0</v>
      </c>
      <c r="I513">
        <v>1</v>
      </c>
      <c r="J513">
        <v>0.12</v>
      </c>
      <c r="K513">
        <v>0.13639999999999999</v>
      </c>
      <c r="L513">
        <v>0.5</v>
      </c>
      <c r="M513">
        <v>0.19400000000000001</v>
      </c>
      <c r="N513">
        <v>0</v>
      </c>
      <c r="O513">
        <v>6</v>
      </c>
      <c r="P513">
        <v>6</v>
      </c>
    </row>
    <row r="514" spans="1:16" x14ac:dyDescent="0.3">
      <c r="A514">
        <v>237</v>
      </c>
      <c r="B514" s="1">
        <v>40554</v>
      </c>
      <c r="C514">
        <v>1</v>
      </c>
      <c r="D514">
        <v>0</v>
      </c>
      <c r="E514">
        <v>1</v>
      </c>
      <c r="F514">
        <v>5</v>
      </c>
      <c r="G514" t="b">
        <v>0</v>
      </c>
      <c r="H514">
        <v>2</v>
      </c>
      <c r="I514">
        <v>2</v>
      </c>
      <c r="J514">
        <v>0.16</v>
      </c>
      <c r="K514">
        <v>0.18179999999999999</v>
      </c>
      <c r="L514">
        <v>0.55000000000000004</v>
      </c>
      <c r="M514">
        <v>0.1343</v>
      </c>
      <c r="N514">
        <v>0</v>
      </c>
      <c r="O514">
        <v>6</v>
      </c>
      <c r="P514">
        <v>6</v>
      </c>
    </row>
    <row r="515" spans="1:16" x14ac:dyDescent="0.3">
      <c r="A515">
        <v>257</v>
      </c>
      <c r="B515" s="1">
        <v>40555</v>
      </c>
      <c r="C515">
        <v>1</v>
      </c>
      <c r="D515">
        <v>0</v>
      </c>
      <c r="E515">
        <v>1</v>
      </c>
      <c r="F515">
        <v>1</v>
      </c>
      <c r="G515" t="b">
        <v>0</v>
      </c>
      <c r="H515">
        <v>3</v>
      </c>
      <c r="I515">
        <v>2</v>
      </c>
      <c r="J515">
        <v>0.16</v>
      </c>
      <c r="K515">
        <v>0.18179999999999999</v>
      </c>
      <c r="L515">
        <v>0.86</v>
      </c>
      <c r="M515">
        <v>0.1045</v>
      </c>
      <c r="N515">
        <v>0</v>
      </c>
      <c r="O515">
        <v>6</v>
      </c>
      <c r="P515">
        <v>6</v>
      </c>
    </row>
    <row r="516" spans="1:16" x14ac:dyDescent="0.3">
      <c r="A516">
        <v>437</v>
      </c>
      <c r="B516" s="1">
        <v>40563</v>
      </c>
      <c r="C516">
        <v>1</v>
      </c>
      <c r="D516">
        <v>0</v>
      </c>
      <c r="E516">
        <v>1</v>
      </c>
      <c r="F516">
        <v>5</v>
      </c>
      <c r="G516" t="b">
        <v>0</v>
      </c>
      <c r="H516">
        <v>4</v>
      </c>
      <c r="I516">
        <v>1</v>
      </c>
      <c r="J516">
        <v>0.24</v>
      </c>
      <c r="K516">
        <v>0.2273</v>
      </c>
      <c r="L516">
        <v>0.6</v>
      </c>
      <c r="M516">
        <v>0.22389999999999999</v>
      </c>
      <c r="N516">
        <v>0</v>
      </c>
      <c r="O516">
        <v>6</v>
      </c>
      <c r="P516">
        <v>6</v>
      </c>
    </row>
    <row r="517" spans="1:16" x14ac:dyDescent="0.3">
      <c r="A517">
        <v>457</v>
      </c>
      <c r="B517" s="1">
        <v>40564</v>
      </c>
      <c r="C517">
        <v>1</v>
      </c>
      <c r="D517">
        <v>0</v>
      </c>
      <c r="E517">
        <v>1</v>
      </c>
      <c r="F517">
        <v>1</v>
      </c>
      <c r="G517" t="b">
        <v>0</v>
      </c>
      <c r="H517">
        <v>5</v>
      </c>
      <c r="I517">
        <v>2</v>
      </c>
      <c r="J517">
        <v>0.24</v>
      </c>
      <c r="K517">
        <v>0.2273</v>
      </c>
      <c r="L517">
        <v>0.7</v>
      </c>
      <c r="M517">
        <v>0.25369999999999998</v>
      </c>
      <c r="N517">
        <v>0</v>
      </c>
      <c r="O517">
        <v>6</v>
      </c>
      <c r="P517">
        <v>6</v>
      </c>
    </row>
    <row r="518" spans="1:16" x14ac:dyDescent="0.3">
      <c r="A518">
        <v>48</v>
      </c>
      <c r="B518" s="1">
        <v>40546</v>
      </c>
      <c r="C518">
        <v>1</v>
      </c>
      <c r="D518">
        <v>0</v>
      </c>
      <c r="E518">
        <v>1</v>
      </c>
      <c r="F518">
        <v>0</v>
      </c>
      <c r="G518" t="b">
        <v>0</v>
      </c>
      <c r="H518">
        <v>1</v>
      </c>
      <c r="I518">
        <v>1</v>
      </c>
      <c r="J518">
        <v>0.22</v>
      </c>
      <c r="K518">
        <v>0.19700000000000001</v>
      </c>
      <c r="L518">
        <v>0.44</v>
      </c>
      <c r="M518">
        <v>0.35820000000000002</v>
      </c>
      <c r="N518">
        <v>0</v>
      </c>
      <c r="O518">
        <v>5</v>
      </c>
      <c r="P518">
        <v>5</v>
      </c>
    </row>
    <row r="519" spans="1:16" x14ac:dyDescent="0.3">
      <c r="A519">
        <v>70</v>
      </c>
      <c r="B519" s="1">
        <v>40547</v>
      </c>
      <c r="C519">
        <v>1</v>
      </c>
      <c r="D519">
        <v>0</v>
      </c>
      <c r="E519">
        <v>1</v>
      </c>
      <c r="F519">
        <v>0</v>
      </c>
      <c r="G519" t="b">
        <v>0</v>
      </c>
      <c r="H519">
        <v>2</v>
      </c>
      <c r="I519">
        <v>1</v>
      </c>
      <c r="J519">
        <v>0.16</v>
      </c>
      <c r="L519">
        <v>0.55000000000000004</v>
      </c>
      <c r="M519">
        <v>0.1045</v>
      </c>
      <c r="N519">
        <v>0</v>
      </c>
      <c r="O519">
        <v>5</v>
      </c>
      <c r="P519">
        <v>5</v>
      </c>
    </row>
    <row r="520" spans="1:16" x14ac:dyDescent="0.3">
      <c r="A520">
        <v>143</v>
      </c>
      <c r="B520" s="1">
        <v>40550</v>
      </c>
      <c r="C520">
        <v>1</v>
      </c>
      <c r="D520">
        <v>0</v>
      </c>
      <c r="E520">
        <v>1</v>
      </c>
      <c r="F520">
        <v>5</v>
      </c>
      <c r="G520" t="b">
        <v>0</v>
      </c>
      <c r="H520">
        <v>5</v>
      </c>
      <c r="I520">
        <v>3</v>
      </c>
      <c r="J520">
        <v>0.22</v>
      </c>
      <c r="K520">
        <v>0.2727</v>
      </c>
      <c r="L520">
        <v>0.55000000000000004</v>
      </c>
      <c r="M520">
        <v>0</v>
      </c>
      <c r="N520">
        <v>0</v>
      </c>
      <c r="O520">
        <v>5</v>
      </c>
      <c r="P520">
        <v>5</v>
      </c>
    </row>
    <row r="521" spans="1:16" x14ac:dyDescent="0.3">
      <c r="A521">
        <v>167</v>
      </c>
      <c r="B521" s="1">
        <v>40551</v>
      </c>
      <c r="C521">
        <v>1</v>
      </c>
      <c r="D521">
        <v>0</v>
      </c>
      <c r="E521">
        <v>1</v>
      </c>
      <c r="F521">
        <v>5</v>
      </c>
      <c r="G521" t="b">
        <v>0</v>
      </c>
      <c r="H521">
        <v>6</v>
      </c>
      <c r="I521">
        <v>2</v>
      </c>
      <c r="J521">
        <v>0.16</v>
      </c>
      <c r="K521">
        <v>0.16669999999999999</v>
      </c>
      <c r="L521">
        <v>0.74</v>
      </c>
      <c r="M521">
        <v>0.16420000000000001</v>
      </c>
      <c r="N521">
        <v>0</v>
      </c>
      <c r="O521">
        <v>5</v>
      </c>
      <c r="P521">
        <v>5</v>
      </c>
    </row>
    <row r="522" spans="1:16" x14ac:dyDescent="0.3">
      <c r="A522">
        <v>210</v>
      </c>
      <c r="B522" s="1">
        <v>40553</v>
      </c>
      <c r="C522">
        <v>1</v>
      </c>
      <c r="D522">
        <v>0</v>
      </c>
      <c r="E522">
        <v>1</v>
      </c>
      <c r="F522">
        <v>0</v>
      </c>
      <c r="G522" t="b">
        <v>0</v>
      </c>
      <c r="H522">
        <v>1</v>
      </c>
      <c r="I522">
        <v>1</v>
      </c>
      <c r="J522">
        <v>0.12</v>
      </c>
      <c r="K522">
        <v>0.1212</v>
      </c>
      <c r="L522">
        <v>0.5</v>
      </c>
      <c r="M522">
        <v>0.28360000000000002</v>
      </c>
      <c r="N522">
        <v>2</v>
      </c>
      <c r="O522">
        <v>3</v>
      </c>
      <c r="P522">
        <v>5</v>
      </c>
    </row>
    <row r="523" spans="1:16" x14ac:dyDescent="0.3">
      <c r="A523">
        <v>259</v>
      </c>
      <c r="B523" s="1">
        <v>40555</v>
      </c>
      <c r="C523">
        <v>1</v>
      </c>
      <c r="D523">
        <v>0</v>
      </c>
      <c r="E523">
        <v>1</v>
      </c>
      <c r="F523">
        <v>5</v>
      </c>
      <c r="G523" t="b">
        <v>0</v>
      </c>
      <c r="H523">
        <v>3</v>
      </c>
      <c r="I523">
        <v>1</v>
      </c>
      <c r="J523">
        <v>0.14000000000000001</v>
      </c>
      <c r="K523">
        <v>0.1515</v>
      </c>
      <c r="L523">
        <v>0.86</v>
      </c>
      <c r="M523">
        <v>0.16420000000000001</v>
      </c>
      <c r="N523">
        <v>0</v>
      </c>
      <c r="O523">
        <v>5</v>
      </c>
      <c r="P523">
        <v>5</v>
      </c>
    </row>
    <row r="524" spans="1:16" x14ac:dyDescent="0.3">
      <c r="A524">
        <v>303</v>
      </c>
      <c r="B524" s="1">
        <v>40557</v>
      </c>
      <c r="C524">
        <v>1</v>
      </c>
      <c r="D524">
        <v>0</v>
      </c>
      <c r="E524">
        <v>1</v>
      </c>
      <c r="F524">
        <v>1</v>
      </c>
      <c r="G524" t="b">
        <v>0</v>
      </c>
      <c r="H524">
        <v>5</v>
      </c>
      <c r="I524">
        <v>1</v>
      </c>
      <c r="J524">
        <v>0.1</v>
      </c>
      <c r="K524">
        <v>0.1212</v>
      </c>
      <c r="L524">
        <v>0.54</v>
      </c>
      <c r="M524">
        <v>0.16420000000000001</v>
      </c>
      <c r="N524">
        <v>0</v>
      </c>
      <c r="O524">
        <v>5</v>
      </c>
      <c r="P524">
        <v>5</v>
      </c>
    </row>
    <row r="525" spans="1:16" x14ac:dyDescent="0.3">
      <c r="A525">
        <v>329</v>
      </c>
      <c r="B525" s="1">
        <v>40558</v>
      </c>
      <c r="C525">
        <v>1</v>
      </c>
      <c r="D525">
        <v>0</v>
      </c>
      <c r="E525">
        <v>1</v>
      </c>
      <c r="F525">
        <v>4</v>
      </c>
      <c r="G525" t="b">
        <v>0</v>
      </c>
      <c r="H525">
        <v>6</v>
      </c>
      <c r="I525">
        <v>2</v>
      </c>
      <c r="J525">
        <v>0.16</v>
      </c>
      <c r="K525">
        <v>0.2273</v>
      </c>
      <c r="L525">
        <v>0.59</v>
      </c>
      <c r="M525">
        <v>0</v>
      </c>
      <c r="N525">
        <v>0</v>
      </c>
      <c r="O525">
        <v>5</v>
      </c>
      <c r="P525">
        <v>5</v>
      </c>
    </row>
    <row r="526" spans="1:16" x14ac:dyDescent="0.3">
      <c r="A526">
        <v>379</v>
      </c>
      <c r="B526" s="1">
        <v>40560</v>
      </c>
      <c r="C526">
        <v>1</v>
      </c>
      <c r="D526">
        <v>0</v>
      </c>
      <c r="E526">
        <v>1</v>
      </c>
      <c r="F526">
        <v>6</v>
      </c>
      <c r="G526" t="b">
        <v>1</v>
      </c>
      <c r="H526">
        <v>1</v>
      </c>
      <c r="I526">
        <v>2</v>
      </c>
      <c r="J526">
        <v>0.18</v>
      </c>
      <c r="K526">
        <v>0.18179999999999999</v>
      </c>
      <c r="L526">
        <v>0.43</v>
      </c>
      <c r="M526">
        <v>0.19400000000000001</v>
      </c>
      <c r="N526">
        <v>0</v>
      </c>
      <c r="O526">
        <v>5</v>
      </c>
      <c r="P526">
        <v>5</v>
      </c>
    </row>
    <row r="527" spans="1:16" x14ac:dyDescent="0.3">
      <c r="A527">
        <v>433</v>
      </c>
      <c r="B527" s="1">
        <v>40563</v>
      </c>
      <c r="C527">
        <v>1</v>
      </c>
      <c r="D527">
        <v>0</v>
      </c>
      <c r="E527">
        <v>1</v>
      </c>
      <c r="F527">
        <v>1</v>
      </c>
      <c r="G527" t="b">
        <v>0</v>
      </c>
      <c r="H527">
        <v>4</v>
      </c>
      <c r="I527">
        <v>1</v>
      </c>
      <c r="J527">
        <v>0.26</v>
      </c>
      <c r="K527">
        <v>0.2727</v>
      </c>
      <c r="L527">
        <v>0.56000000000000005</v>
      </c>
      <c r="M527">
        <v>0</v>
      </c>
      <c r="N527">
        <v>2</v>
      </c>
      <c r="O527">
        <v>3</v>
      </c>
      <c r="P527">
        <v>5</v>
      </c>
    </row>
    <row r="528" spans="1:16" x14ac:dyDescent="0.3">
      <c r="A528">
        <v>461</v>
      </c>
      <c r="B528" s="1">
        <v>40564</v>
      </c>
      <c r="C528">
        <v>1</v>
      </c>
      <c r="D528">
        <v>0</v>
      </c>
      <c r="E528">
        <v>1</v>
      </c>
      <c r="F528">
        <v>5</v>
      </c>
      <c r="G528" t="b">
        <v>0</v>
      </c>
      <c r="H528">
        <v>5</v>
      </c>
      <c r="I528">
        <v>1</v>
      </c>
      <c r="J528">
        <v>0.24</v>
      </c>
      <c r="K528">
        <v>0.19700000000000001</v>
      </c>
      <c r="L528">
        <v>0.6</v>
      </c>
      <c r="M528">
        <v>0.41789999999999999</v>
      </c>
      <c r="N528">
        <v>1</v>
      </c>
      <c r="O528">
        <v>4</v>
      </c>
      <c r="P528">
        <v>5</v>
      </c>
    </row>
    <row r="529" spans="1:16" x14ac:dyDescent="0.3">
      <c r="A529">
        <v>506</v>
      </c>
      <c r="B529" s="1">
        <v>40566</v>
      </c>
      <c r="C529">
        <v>1</v>
      </c>
      <c r="D529">
        <v>0</v>
      </c>
      <c r="E529">
        <v>1</v>
      </c>
      <c r="F529">
        <v>3</v>
      </c>
      <c r="G529" t="b">
        <v>0</v>
      </c>
      <c r="H529">
        <v>0</v>
      </c>
      <c r="I529">
        <v>1</v>
      </c>
      <c r="J529">
        <v>0.02</v>
      </c>
      <c r="K529">
        <v>6.0600000000000001E-2</v>
      </c>
      <c r="L529">
        <v>0.62</v>
      </c>
      <c r="M529">
        <v>0.1343</v>
      </c>
      <c r="N529">
        <v>1</v>
      </c>
      <c r="O529">
        <v>4</v>
      </c>
      <c r="P529">
        <v>5</v>
      </c>
    </row>
    <row r="530" spans="1:16" x14ac:dyDescent="0.3">
      <c r="A530">
        <v>530</v>
      </c>
      <c r="B530" s="1">
        <v>40567</v>
      </c>
      <c r="C530">
        <v>1</v>
      </c>
      <c r="D530">
        <v>0</v>
      </c>
      <c r="E530">
        <v>1</v>
      </c>
      <c r="F530">
        <v>5</v>
      </c>
      <c r="G530" t="b">
        <v>0</v>
      </c>
      <c r="H530">
        <v>1</v>
      </c>
      <c r="I530">
        <v>1</v>
      </c>
      <c r="J530">
        <v>0.02</v>
      </c>
      <c r="K530">
        <v>6.0600000000000001E-2</v>
      </c>
      <c r="L530">
        <v>0.48</v>
      </c>
      <c r="M530">
        <v>0.1343</v>
      </c>
      <c r="N530">
        <v>0</v>
      </c>
      <c r="O530">
        <v>5</v>
      </c>
      <c r="P530">
        <v>5</v>
      </c>
    </row>
    <row r="531" spans="1:16" x14ac:dyDescent="0.3">
      <c r="A531">
        <v>550</v>
      </c>
      <c r="B531" s="1">
        <v>40568</v>
      </c>
      <c r="C531">
        <v>1</v>
      </c>
      <c r="D531">
        <v>0</v>
      </c>
      <c r="E531">
        <v>1</v>
      </c>
      <c r="F531">
        <v>1</v>
      </c>
      <c r="G531" t="b">
        <v>0</v>
      </c>
      <c r="H531">
        <v>2</v>
      </c>
      <c r="I531">
        <v>2</v>
      </c>
      <c r="J531">
        <v>0.16</v>
      </c>
      <c r="K531">
        <v>0.16669999999999999</v>
      </c>
      <c r="L531">
        <v>0.69</v>
      </c>
      <c r="M531">
        <v>0.16420000000000001</v>
      </c>
      <c r="N531">
        <v>0</v>
      </c>
      <c r="O531">
        <v>5</v>
      </c>
      <c r="P531">
        <v>5</v>
      </c>
    </row>
    <row r="532" spans="1:16" x14ac:dyDescent="0.3">
      <c r="A532">
        <v>573</v>
      </c>
      <c r="B532" s="1">
        <v>40569</v>
      </c>
      <c r="C532">
        <v>1</v>
      </c>
      <c r="D532">
        <v>0</v>
      </c>
      <c r="E532">
        <v>1</v>
      </c>
      <c r="F532">
        <v>1</v>
      </c>
      <c r="G532" t="b">
        <v>0</v>
      </c>
      <c r="H532">
        <v>3</v>
      </c>
      <c r="I532">
        <v>2</v>
      </c>
      <c r="J532">
        <v>0.24</v>
      </c>
      <c r="K532">
        <v>0.2424</v>
      </c>
      <c r="L532">
        <v>0.65</v>
      </c>
      <c r="M532">
        <v>0.1343</v>
      </c>
      <c r="N532">
        <v>0</v>
      </c>
      <c r="O532">
        <v>5</v>
      </c>
      <c r="P532">
        <v>5</v>
      </c>
    </row>
    <row r="533" spans="1:16" x14ac:dyDescent="0.3">
      <c r="A533">
        <v>74</v>
      </c>
      <c r="B533" s="1">
        <v>40547</v>
      </c>
      <c r="C533">
        <v>1</v>
      </c>
      <c r="D533">
        <v>0</v>
      </c>
      <c r="E533">
        <v>1</v>
      </c>
      <c r="F533">
        <v>5</v>
      </c>
      <c r="G533" t="b">
        <v>0</v>
      </c>
      <c r="H533">
        <v>2</v>
      </c>
      <c r="I533">
        <v>1</v>
      </c>
      <c r="J533">
        <v>0.12</v>
      </c>
      <c r="K533">
        <v>0.1515</v>
      </c>
      <c r="L533">
        <v>0.68</v>
      </c>
      <c r="M533">
        <v>0.1045</v>
      </c>
      <c r="N533">
        <v>0</v>
      </c>
      <c r="O533">
        <v>4</v>
      </c>
      <c r="P533">
        <v>4</v>
      </c>
    </row>
    <row r="534" spans="1:16" x14ac:dyDescent="0.3">
      <c r="A534">
        <v>117</v>
      </c>
      <c r="B534" s="1">
        <v>40549</v>
      </c>
      <c r="C534">
        <v>1</v>
      </c>
      <c r="D534">
        <v>0</v>
      </c>
      <c r="E534">
        <v>1</v>
      </c>
      <c r="F534">
        <v>1</v>
      </c>
      <c r="G534" t="b">
        <v>0</v>
      </c>
      <c r="H534">
        <v>4</v>
      </c>
      <c r="I534">
        <v>1</v>
      </c>
      <c r="J534">
        <v>0.16</v>
      </c>
      <c r="K534">
        <v>0.2273</v>
      </c>
      <c r="L534">
        <v>0.64</v>
      </c>
      <c r="M534">
        <v>0</v>
      </c>
      <c r="N534">
        <v>0</v>
      </c>
      <c r="O534">
        <v>4</v>
      </c>
      <c r="P534">
        <v>4</v>
      </c>
    </row>
    <row r="535" spans="1:16" x14ac:dyDescent="0.3">
      <c r="A535">
        <v>120</v>
      </c>
      <c r="B535" s="1">
        <v>40549</v>
      </c>
      <c r="C535">
        <v>1</v>
      </c>
      <c r="D535">
        <v>0</v>
      </c>
      <c r="E535">
        <v>1</v>
      </c>
      <c r="F535">
        <v>5</v>
      </c>
      <c r="G535" t="b">
        <v>0</v>
      </c>
      <c r="H535">
        <v>4</v>
      </c>
      <c r="I535">
        <v>2</v>
      </c>
      <c r="J535">
        <v>0.14000000000000001</v>
      </c>
      <c r="K535">
        <v>0.18179999999999999</v>
      </c>
      <c r="L535">
        <v>0.69</v>
      </c>
      <c r="M535">
        <v>8.9599999999999999E-2</v>
      </c>
      <c r="N535">
        <v>0</v>
      </c>
      <c r="O535">
        <v>4</v>
      </c>
      <c r="P535">
        <v>4</v>
      </c>
    </row>
    <row r="536" spans="1:16" x14ac:dyDescent="0.3">
      <c r="A536">
        <v>189</v>
      </c>
      <c r="B536" s="1">
        <v>40552</v>
      </c>
      <c r="C536">
        <v>1</v>
      </c>
      <c r="D536">
        <v>0</v>
      </c>
      <c r="E536">
        <v>1</v>
      </c>
      <c r="F536">
        <v>3</v>
      </c>
      <c r="G536" t="b">
        <v>0</v>
      </c>
      <c r="H536">
        <v>0</v>
      </c>
      <c r="I536">
        <v>1</v>
      </c>
      <c r="J536">
        <v>0.1</v>
      </c>
      <c r="K536">
        <v>7.5800000000000006E-2</v>
      </c>
      <c r="L536">
        <v>0.46</v>
      </c>
      <c r="M536">
        <v>0.41789999999999999</v>
      </c>
      <c r="N536">
        <v>0</v>
      </c>
      <c r="O536">
        <v>4</v>
      </c>
      <c r="P536">
        <v>4</v>
      </c>
    </row>
    <row r="537" spans="1:16" x14ac:dyDescent="0.3">
      <c r="A537">
        <v>282</v>
      </c>
      <c r="B537" s="1">
        <v>40556</v>
      </c>
      <c r="C537">
        <v>1</v>
      </c>
      <c r="D537">
        <v>0</v>
      </c>
      <c r="E537">
        <v>1</v>
      </c>
      <c r="F537">
        <v>4</v>
      </c>
      <c r="G537" t="b">
        <v>0</v>
      </c>
      <c r="H537">
        <v>4</v>
      </c>
      <c r="I537">
        <v>1</v>
      </c>
      <c r="J537">
        <v>0.14000000000000001</v>
      </c>
      <c r="K537">
        <v>0.1212</v>
      </c>
      <c r="L537">
        <v>0.5</v>
      </c>
      <c r="M537">
        <v>0.25369999999999998</v>
      </c>
      <c r="N537">
        <v>0</v>
      </c>
      <c r="O537">
        <v>4</v>
      </c>
      <c r="P537">
        <v>4</v>
      </c>
    </row>
    <row r="538" spans="1:16" x14ac:dyDescent="0.3">
      <c r="A538">
        <v>396</v>
      </c>
      <c r="B538" s="1">
        <v>40560</v>
      </c>
      <c r="C538">
        <v>1</v>
      </c>
      <c r="D538">
        <v>0</v>
      </c>
      <c r="E538">
        <v>1</v>
      </c>
      <c r="F538">
        <v>23</v>
      </c>
      <c r="G538" t="b">
        <v>1</v>
      </c>
      <c r="H538">
        <v>1</v>
      </c>
      <c r="I538">
        <v>3</v>
      </c>
      <c r="J538">
        <v>0.16</v>
      </c>
      <c r="K538">
        <v>0.13639999999999999</v>
      </c>
      <c r="L538">
        <v>0.86</v>
      </c>
      <c r="M538">
        <v>0.28360000000000002</v>
      </c>
      <c r="N538">
        <v>1</v>
      </c>
      <c r="O538">
        <v>3</v>
      </c>
      <c r="P538">
        <v>4</v>
      </c>
    </row>
    <row r="539" spans="1:16" x14ac:dyDescent="0.3">
      <c r="A539">
        <v>600</v>
      </c>
      <c r="B539" s="1">
        <v>40571</v>
      </c>
      <c r="C539">
        <v>1</v>
      </c>
      <c r="D539">
        <v>0</v>
      </c>
      <c r="E539">
        <v>1</v>
      </c>
      <c r="F539">
        <v>5</v>
      </c>
      <c r="G539" t="b">
        <v>0</v>
      </c>
      <c r="H539">
        <v>5</v>
      </c>
      <c r="I539">
        <v>2</v>
      </c>
      <c r="J539">
        <v>0.18</v>
      </c>
      <c r="K539">
        <v>0.21210000000000001</v>
      </c>
      <c r="L539">
        <v>0.8</v>
      </c>
      <c r="M539">
        <v>0.1045</v>
      </c>
      <c r="N539">
        <v>0</v>
      </c>
      <c r="O539">
        <v>4</v>
      </c>
      <c r="P539">
        <v>4</v>
      </c>
    </row>
    <row r="540" spans="1:16" x14ac:dyDescent="0.3">
      <c r="A540">
        <v>8</v>
      </c>
      <c r="B540" s="1">
        <v>40544</v>
      </c>
      <c r="C540">
        <v>1</v>
      </c>
      <c r="D540">
        <v>0</v>
      </c>
      <c r="E540">
        <v>1</v>
      </c>
      <c r="F540">
        <v>7</v>
      </c>
      <c r="G540" t="b">
        <v>0</v>
      </c>
      <c r="H540">
        <v>6</v>
      </c>
      <c r="I540">
        <v>1</v>
      </c>
      <c r="J540">
        <v>0.2</v>
      </c>
      <c r="K540">
        <v>0.2576</v>
      </c>
      <c r="L540">
        <v>0.86</v>
      </c>
      <c r="M540">
        <v>0</v>
      </c>
      <c r="N540">
        <v>1</v>
      </c>
      <c r="O540">
        <v>2</v>
      </c>
      <c r="P540">
        <v>3</v>
      </c>
    </row>
    <row r="541" spans="1:16" x14ac:dyDescent="0.3">
      <c r="A541">
        <v>29</v>
      </c>
      <c r="B541" s="1">
        <v>40545</v>
      </c>
      <c r="C541">
        <v>1</v>
      </c>
      <c r="D541">
        <v>0</v>
      </c>
      <c r="E541">
        <v>1</v>
      </c>
      <c r="F541">
        <v>4</v>
      </c>
      <c r="G541" t="b">
        <v>0</v>
      </c>
      <c r="H541">
        <v>0</v>
      </c>
      <c r="I541">
        <v>2</v>
      </c>
      <c r="J541">
        <v>0.46</v>
      </c>
      <c r="L541">
        <v>0.94</v>
      </c>
      <c r="M541">
        <v>0.19400000000000001</v>
      </c>
      <c r="N541">
        <v>2</v>
      </c>
      <c r="O541">
        <v>1</v>
      </c>
      <c r="P541">
        <v>3</v>
      </c>
    </row>
    <row r="542" spans="1:16" x14ac:dyDescent="0.3">
      <c r="A542">
        <v>51</v>
      </c>
      <c r="B542" s="1">
        <v>40546</v>
      </c>
      <c r="C542">
        <v>1</v>
      </c>
      <c r="D542">
        <v>0</v>
      </c>
      <c r="E542">
        <v>1</v>
      </c>
      <c r="F542">
        <v>5</v>
      </c>
      <c r="G542" t="b">
        <v>0</v>
      </c>
      <c r="H542">
        <v>1</v>
      </c>
      <c r="I542">
        <v>1</v>
      </c>
      <c r="J542">
        <v>0.16</v>
      </c>
      <c r="K542">
        <v>0.13639999999999999</v>
      </c>
      <c r="L542">
        <v>0.47</v>
      </c>
      <c r="M542">
        <v>0.28360000000000002</v>
      </c>
      <c r="N542">
        <v>0</v>
      </c>
      <c r="O542">
        <v>3</v>
      </c>
      <c r="P542">
        <v>3</v>
      </c>
    </row>
    <row r="543" spans="1:16" x14ac:dyDescent="0.3">
      <c r="A543">
        <v>97</v>
      </c>
      <c r="B543" s="1">
        <v>40548</v>
      </c>
      <c r="C543">
        <v>1</v>
      </c>
      <c r="D543">
        <v>0</v>
      </c>
      <c r="E543">
        <v>1</v>
      </c>
      <c r="F543">
        <v>5</v>
      </c>
      <c r="G543" t="b">
        <v>0</v>
      </c>
      <c r="H543">
        <v>3</v>
      </c>
      <c r="I543">
        <v>1</v>
      </c>
      <c r="J543">
        <v>0.22</v>
      </c>
      <c r="K543">
        <v>0.2273</v>
      </c>
      <c r="L543">
        <v>0.47</v>
      </c>
      <c r="M543">
        <v>0.16420000000000001</v>
      </c>
      <c r="N543">
        <v>0</v>
      </c>
      <c r="O543">
        <v>3</v>
      </c>
      <c r="P543">
        <v>3</v>
      </c>
    </row>
    <row r="544" spans="1:16" x14ac:dyDescent="0.3">
      <c r="A544">
        <v>212</v>
      </c>
      <c r="B544" s="1">
        <v>40553</v>
      </c>
      <c r="C544">
        <v>1</v>
      </c>
      <c r="D544">
        <v>0</v>
      </c>
      <c r="E544">
        <v>1</v>
      </c>
      <c r="F544">
        <v>2</v>
      </c>
      <c r="G544" t="b">
        <v>0</v>
      </c>
      <c r="H544">
        <v>1</v>
      </c>
      <c r="I544">
        <v>1</v>
      </c>
      <c r="J544">
        <v>0.12</v>
      </c>
      <c r="K544">
        <v>0.1212</v>
      </c>
      <c r="L544">
        <v>0.5</v>
      </c>
      <c r="M544">
        <v>0.22389999999999999</v>
      </c>
      <c r="N544">
        <v>0</v>
      </c>
      <c r="O544">
        <v>3</v>
      </c>
      <c r="P544">
        <v>3</v>
      </c>
    </row>
    <row r="545" spans="1:16" x14ac:dyDescent="0.3">
      <c r="A545">
        <v>214</v>
      </c>
      <c r="B545" s="1">
        <v>40553</v>
      </c>
      <c r="C545">
        <v>1</v>
      </c>
      <c r="D545">
        <v>0</v>
      </c>
      <c r="E545">
        <v>1</v>
      </c>
      <c r="F545">
        <v>4</v>
      </c>
      <c r="G545" t="b">
        <v>0</v>
      </c>
      <c r="H545">
        <v>1</v>
      </c>
      <c r="I545">
        <v>1</v>
      </c>
      <c r="J545">
        <v>0.1</v>
      </c>
      <c r="K545">
        <v>0.1212</v>
      </c>
      <c r="L545">
        <v>0.54</v>
      </c>
      <c r="M545">
        <v>0.1343</v>
      </c>
      <c r="N545">
        <v>1</v>
      </c>
      <c r="O545">
        <v>2</v>
      </c>
      <c r="P545">
        <v>3</v>
      </c>
    </row>
    <row r="546" spans="1:16" x14ac:dyDescent="0.3">
      <c r="A546">
        <v>215</v>
      </c>
      <c r="B546" s="1">
        <v>40553</v>
      </c>
      <c r="C546">
        <v>1</v>
      </c>
      <c r="D546">
        <v>0</v>
      </c>
      <c r="E546">
        <v>1</v>
      </c>
      <c r="F546">
        <v>5</v>
      </c>
      <c r="G546" t="b">
        <v>0</v>
      </c>
      <c r="H546">
        <v>1</v>
      </c>
      <c r="I546">
        <v>1</v>
      </c>
      <c r="J546">
        <v>0.1</v>
      </c>
      <c r="K546">
        <v>0.1061</v>
      </c>
      <c r="L546">
        <v>0.54</v>
      </c>
      <c r="M546">
        <v>0.25369999999999998</v>
      </c>
      <c r="N546">
        <v>0</v>
      </c>
      <c r="O546">
        <v>3</v>
      </c>
      <c r="P546">
        <v>3</v>
      </c>
    </row>
    <row r="547" spans="1:16" x14ac:dyDescent="0.3">
      <c r="A547">
        <v>235</v>
      </c>
      <c r="B547" s="1">
        <v>40554</v>
      </c>
      <c r="C547">
        <v>1</v>
      </c>
      <c r="D547">
        <v>0</v>
      </c>
      <c r="E547">
        <v>1</v>
      </c>
      <c r="F547">
        <v>1</v>
      </c>
      <c r="G547" t="b">
        <v>0</v>
      </c>
      <c r="H547">
        <v>2</v>
      </c>
      <c r="I547">
        <v>1</v>
      </c>
      <c r="J547">
        <v>0.14000000000000001</v>
      </c>
      <c r="K547">
        <v>0.1515</v>
      </c>
      <c r="L547">
        <v>0.59</v>
      </c>
      <c r="M547">
        <v>0.16420000000000001</v>
      </c>
      <c r="N547">
        <v>0</v>
      </c>
      <c r="O547">
        <v>3</v>
      </c>
      <c r="P547">
        <v>3</v>
      </c>
    </row>
    <row r="548" spans="1:16" x14ac:dyDescent="0.3">
      <c r="A548">
        <v>236</v>
      </c>
      <c r="B548" s="1">
        <v>40554</v>
      </c>
      <c r="C548">
        <v>1</v>
      </c>
      <c r="D548">
        <v>0</v>
      </c>
      <c r="E548">
        <v>1</v>
      </c>
      <c r="F548">
        <v>2</v>
      </c>
      <c r="G548" t="b">
        <v>0</v>
      </c>
      <c r="H548">
        <v>2</v>
      </c>
      <c r="I548">
        <v>2</v>
      </c>
      <c r="J548">
        <v>0.16</v>
      </c>
      <c r="K548">
        <v>0.1515</v>
      </c>
      <c r="L548">
        <v>0.55000000000000004</v>
      </c>
      <c r="M548">
        <v>0.19400000000000001</v>
      </c>
      <c r="N548">
        <v>0</v>
      </c>
      <c r="O548">
        <v>3</v>
      </c>
      <c r="P548">
        <v>3</v>
      </c>
    </row>
    <row r="549" spans="1:16" x14ac:dyDescent="0.3">
      <c r="A549">
        <v>281</v>
      </c>
      <c r="B549" s="1">
        <v>40556</v>
      </c>
      <c r="C549">
        <v>1</v>
      </c>
      <c r="D549">
        <v>0</v>
      </c>
      <c r="E549">
        <v>1</v>
      </c>
      <c r="F549">
        <v>3</v>
      </c>
      <c r="G549" t="b">
        <v>0</v>
      </c>
      <c r="H549">
        <v>4</v>
      </c>
      <c r="I549">
        <v>1</v>
      </c>
      <c r="J549">
        <v>0.14000000000000001</v>
      </c>
      <c r="K549">
        <v>0.1212</v>
      </c>
      <c r="L549">
        <v>0.5</v>
      </c>
      <c r="M549">
        <v>0.32840000000000003</v>
      </c>
      <c r="N549">
        <v>0</v>
      </c>
      <c r="O549">
        <v>3</v>
      </c>
      <c r="P549">
        <v>3</v>
      </c>
    </row>
    <row r="550" spans="1:16" x14ac:dyDescent="0.3">
      <c r="A550">
        <v>283</v>
      </c>
      <c r="B550" s="1">
        <v>40556</v>
      </c>
      <c r="C550">
        <v>1</v>
      </c>
      <c r="D550">
        <v>0</v>
      </c>
      <c r="E550">
        <v>1</v>
      </c>
      <c r="F550">
        <v>5</v>
      </c>
      <c r="G550" t="b">
        <v>0</v>
      </c>
      <c r="H550">
        <v>4</v>
      </c>
      <c r="I550">
        <v>1</v>
      </c>
      <c r="J550">
        <v>0.14000000000000001</v>
      </c>
      <c r="K550">
        <v>0.1212</v>
      </c>
      <c r="L550">
        <v>0.5</v>
      </c>
      <c r="M550">
        <v>0.29849999999999999</v>
      </c>
      <c r="N550">
        <v>0</v>
      </c>
      <c r="O550">
        <v>3</v>
      </c>
      <c r="P550">
        <v>3</v>
      </c>
    </row>
    <row r="551" spans="1:16" x14ac:dyDescent="0.3">
      <c r="A551">
        <v>331</v>
      </c>
      <c r="B551" s="1">
        <v>40558</v>
      </c>
      <c r="C551">
        <v>1</v>
      </c>
      <c r="D551">
        <v>0</v>
      </c>
      <c r="E551">
        <v>1</v>
      </c>
      <c r="F551">
        <v>6</v>
      </c>
      <c r="G551" t="b">
        <v>0</v>
      </c>
      <c r="H551">
        <v>6</v>
      </c>
      <c r="I551">
        <v>1</v>
      </c>
      <c r="J551">
        <v>0.14000000000000001</v>
      </c>
      <c r="K551">
        <v>0.16669999999999999</v>
      </c>
      <c r="L551">
        <v>0.63</v>
      </c>
      <c r="M551">
        <v>0.1045</v>
      </c>
      <c r="N551">
        <v>1</v>
      </c>
      <c r="O551">
        <v>2</v>
      </c>
      <c r="P551">
        <v>3</v>
      </c>
    </row>
    <row r="552" spans="1:16" x14ac:dyDescent="0.3">
      <c r="A552">
        <v>356</v>
      </c>
      <c r="B552" s="1">
        <v>40559</v>
      </c>
      <c r="C552">
        <v>1</v>
      </c>
      <c r="D552">
        <v>0</v>
      </c>
      <c r="E552">
        <v>1</v>
      </c>
      <c r="F552">
        <v>7</v>
      </c>
      <c r="G552" t="b">
        <v>0</v>
      </c>
      <c r="H552">
        <v>0</v>
      </c>
      <c r="I552">
        <v>2</v>
      </c>
      <c r="J552">
        <v>0.24</v>
      </c>
      <c r="K552">
        <v>0.21210000000000001</v>
      </c>
      <c r="L552">
        <v>0.56000000000000005</v>
      </c>
      <c r="M552">
        <v>0.29849999999999999</v>
      </c>
      <c r="N552">
        <v>0</v>
      </c>
      <c r="O552">
        <v>3</v>
      </c>
      <c r="P552">
        <v>3</v>
      </c>
    </row>
    <row r="553" spans="1:16" x14ac:dyDescent="0.3">
      <c r="A553">
        <v>377</v>
      </c>
      <c r="B553" s="1">
        <v>40560</v>
      </c>
      <c r="C553">
        <v>1</v>
      </c>
      <c r="D553">
        <v>0</v>
      </c>
      <c r="E553">
        <v>1</v>
      </c>
      <c r="F553">
        <v>4</v>
      </c>
      <c r="G553" t="b">
        <v>1</v>
      </c>
      <c r="H553">
        <v>1</v>
      </c>
      <c r="I553">
        <v>2</v>
      </c>
      <c r="J553">
        <v>0.18</v>
      </c>
      <c r="K553">
        <v>0.19700000000000001</v>
      </c>
      <c r="L553">
        <v>0.43</v>
      </c>
      <c r="M553">
        <v>0.1343</v>
      </c>
      <c r="N553">
        <v>1</v>
      </c>
      <c r="O553">
        <v>2</v>
      </c>
      <c r="P553">
        <v>3</v>
      </c>
    </row>
    <row r="554" spans="1:16" x14ac:dyDescent="0.3">
      <c r="A554">
        <v>397</v>
      </c>
      <c r="B554" s="1">
        <v>40561</v>
      </c>
      <c r="C554">
        <v>1</v>
      </c>
      <c r="D554">
        <v>0</v>
      </c>
      <c r="E554">
        <v>1</v>
      </c>
      <c r="F554">
        <v>12</v>
      </c>
      <c r="G554" t="b">
        <v>0</v>
      </c>
      <c r="H554">
        <v>2</v>
      </c>
      <c r="I554">
        <v>2</v>
      </c>
      <c r="J554">
        <v>0.2</v>
      </c>
      <c r="K554">
        <v>0.18179999999999999</v>
      </c>
      <c r="L554">
        <v>0.86</v>
      </c>
      <c r="M554">
        <v>0.32840000000000003</v>
      </c>
      <c r="N554">
        <v>0</v>
      </c>
      <c r="O554">
        <v>3</v>
      </c>
      <c r="P554">
        <v>3</v>
      </c>
    </row>
    <row r="555" spans="1:16" x14ac:dyDescent="0.3">
      <c r="A555">
        <v>409</v>
      </c>
      <c r="B555" s="1">
        <v>40562</v>
      </c>
      <c r="C555">
        <v>1</v>
      </c>
      <c r="D555">
        <v>0</v>
      </c>
      <c r="E555">
        <v>1</v>
      </c>
      <c r="F555">
        <v>0</v>
      </c>
      <c r="G555" t="b">
        <v>0</v>
      </c>
      <c r="H555">
        <v>3</v>
      </c>
      <c r="I555">
        <v>2</v>
      </c>
      <c r="J555">
        <v>0.22</v>
      </c>
      <c r="K555">
        <v>0.2727</v>
      </c>
      <c r="L555">
        <v>0.93</v>
      </c>
      <c r="M555">
        <v>0</v>
      </c>
      <c r="N555">
        <v>0</v>
      </c>
      <c r="O555">
        <v>3</v>
      </c>
      <c r="P555">
        <v>3</v>
      </c>
    </row>
    <row r="556" spans="1:16" x14ac:dyDescent="0.3">
      <c r="A556">
        <v>411</v>
      </c>
      <c r="B556" s="1">
        <v>40562</v>
      </c>
      <c r="C556">
        <v>1</v>
      </c>
      <c r="D556">
        <v>0</v>
      </c>
      <c r="E556">
        <v>1</v>
      </c>
      <c r="F556">
        <v>2</v>
      </c>
      <c r="G556" t="b">
        <v>0</v>
      </c>
      <c r="H556">
        <v>3</v>
      </c>
      <c r="I556">
        <v>3</v>
      </c>
      <c r="J556">
        <v>0.22</v>
      </c>
      <c r="K556">
        <v>0.2273</v>
      </c>
      <c r="L556">
        <v>0.93</v>
      </c>
      <c r="M556">
        <v>0.1343</v>
      </c>
      <c r="N556">
        <v>0</v>
      </c>
      <c r="O556">
        <v>3</v>
      </c>
      <c r="P556">
        <v>3</v>
      </c>
    </row>
    <row r="557" spans="1:16" x14ac:dyDescent="0.3">
      <c r="A557">
        <v>484</v>
      </c>
      <c r="B557" s="1">
        <v>40565</v>
      </c>
      <c r="C557">
        <v>1</v>
      </c>
      <c r="D557">
        <v>0</v>
      </c>
      <c r="E557">
        <v>1</v>
      </c>
      <c r="F557">
        <v>4</v>
      </c>
      <c r="G557" t="b">
        <v>0</v>
      </c>
      <c r="H557">
        <v>6</v>
      </c>
      <c r="I557">
        <v>2</v>
      </c>
      <c r="J557">
        <v>0.02</v>
      </c>
      <c r="K557">
        <v>1.52E-2</v>
      </c>
      <c r="L557">
        <v>0.48</v>
      </c>
      <c r="M557">
        <v>0.29849999999999999</v>
      </c>
      <c r="N557">
        <v>0</v>
      </c>
      <c r="O557">
        <v>3</v>
      </c>
      <c r="P557">
        <v>3</v>
      </c>
    </row>
    <row r="558" spans="1:16" x14ac:dyDescent="0.3">
      <c r="A558">
        <v>507</v>
      </c>
      <c r="B558" s="1">
        <v>40566</v>
      </c>
      <c r="C558">
        <v>1</v>
      </c>
      <c r="D558">
        <v>0</v>
      </c>
      <c r="E558">
        <v>1</v>
      </c>
      <c r="F558">
        <v>5</v>
      </c>
      <c r="G558" t="b">
        <v>0</v>
      </c>
      <c r="H558">
        <v>0</v>
      </c>
      <c r="I558">
        <v>2</v>
      </c>
      <c r="J558">
        <v>0.04</v>
      </c>
      <c r="K558">
        <v>7.5800000000000006E-2</v>
      </c>
      <c r="L558">
        <v>0.56999999999999995</v>
      </c>
      <c r="M558">
        <v>0.1045</v>
      </c>
      <c r="N558">
        <v>0</v>
      </c>
      <c r="O558">
        <v>3</v>
      </c>
      <c r="P558">
        <v>3</v>
      </c>
    </row>
    <row r="559" spans="1:16" x14ac:dyDescent="0.3">
      <c r="A559">
        <v>597</v>
      </c>
      <c r="B559" s="1">
        <v>40571</v>
      </c>
      <c r="C559">
        <v>1</v>
      </c>
      <c r="D559">
        <v>0</v>
      </c>
      <c r="E559">
        <v>1</v>
      </c>
      <c r="F559">
        <v>1</v>
      </c>
      <c r="G559" t="b">
        <v>0</v>
      </c>
      <c r="H559">
        <v>5</v>
      </c>
      <c r="I559">
        <v>2</v>
      </c>
      <c r="J559">
        <v>0.2</v>
      </c>
      <c r="K559">
        <v>0.21210000000000001</v>
      </c>
      <c r="L559">
        <v>0.75</v>
      </c>
      <c r="M559">
        <v>0.1343</v>
      </c>
      <c r="N559">
        <v>1</v>
      </c>
      <c r="O559">
        <v>2</v>
      </c>
      <c r="P559">
        <v>3</v>
      </c>
    </row>
    <row r="560" spans="1:16" x14ac:dyDescent="0.3">
      <c r="A560">
        <v>7</v>
      </c>
      <c r="B560" s="1">
        <v>40544</v>
      </c>
      <c r="C560">
        <v>1</v>
      </c>
      <c r="D560">
        <v>0</v>
      </c>
      <c r="E560">
        <v>1</v>
      </c>
      <c r="F560">
        <v>6</v>
      </c>
      <c r="G560" t="b">
        <v>0</v>
      </c>
      <c r="H560">
        <v>6</v>
      </c>
      <c r="I560">
        <v>1</v>
      </c>
      <c r="J560">
        <v>0.22</v>
      </c>
      <c r="K560">
        <v>0.2727</v>
      </c>
      <c r="L560">
        <v>0.8</v>
      </c>
      <c r="M560">
        <v>0</v>
      </c>
      <c r="N560">
        <v>2</v>
      </c>
      <c r="O560">
        <v>0</v>
      </c>
      <c r="P560">
        <v>2</v>
      </c>
    </row>
    <row r="561" spans="1:16" x14ac:dyDescent="0.3">
      <c r="A561">
        <v>30</v>
      </c>
      <c r="B561" s="1">
        <v>40545</v>
      </c>
      <c r="C561">
        <v>1</v>
      </c>
      <c r="D561">
        <v>0</v>
      </c>
      <c r="E561">
        <v>1</v>
      </c>
      <c r="F561">
        <v>6</v>
      </c>
      <c r="G561" t="b">
        <v>0</v>
      </c>
      <c r="H561">
        <v>0</v>
      </c>
      <c r="I561">
        <v>3</v>
      </c>
      <c r="J561">
        <v>0.42</v>
      </c>
      <c r="K561">
        <v>0.42420000000000002</v>
      </c>
      <c r="L561">
        <v>0.77</v>
      </c>
      <c r="M561">
        <v>0.29849999999999999</v>
      </c>
      <c r="N561">
        <v>0</v>
      </c>
      <c r="O561">
        <v>2</v>
      </c>
      <c r="P561">
        <v>2</v>
      </c>
    </row>
    <row r="562" spans="1:16" x14ac:dyDescent="0.3">
      <c r="A562">
        <v>49</v>
      </c>
      <c r="B562" s="1">
        <v>40546</v>
      </c>
      <c r="C562">
        <v>1</v>
      </c>
      <c r="D562">
        <v>0</v>
      </c>
      <c r="E562">
        <v>1</v>
      </c>
      <c r="F562">
        <v>1</v>
      </c>
      <c r="G562" t="b">
        <v>0</v>
      </c>
      <c r="H562">
        <v>1</v>
      </c>
      <c r="I562">
        <v>1</v>
      </c>
      <c r="J562">
        <v>0.2</v>
      </c>
      <c r="L562">
        <v>0.44</v>
      </c>
      <c r="M562">
        <v>0.41789999999999999</v>
      </c>
      <c r="N562">
        <v>0</v>
      </c>
      <c r="O562">
        <v>2</v>
      </c>
      <c r="P562">
        <v>2</v>
      </c>
    </row>
    <row r="563" spans="1:16" x14ac:dyDescent="0.3">
      <c r="A563">
        <v>71</v>
      </c>
      <c r="B563" s="1">
        <v>40547</v>
      </c>
      <c r="C563">
        <v>1</v>
      </c>
      <c r="D563">
        <v>0</v>
      </c>
      <c r="E563">
        <v>1</v>
      </c>
      <c r="F563">
        <v>1</v>
      </c>
      <c r="G563" t="b">
        <v>0</v>
      </c>
      <c r="H563">
        <v>2</v>
      </c>
      <c r="I563">
        <v>1</v>
      </c>
      <c r="J563">
        <v>0.16</v>
      </c>
      <c r="K563">
        <v>0.18179999999999999</v>
      </c>
      <c r="L563">
        <v>0.59</v>
      </c>
      <c r="M563">
        <v>0.1045</v>
      </c>
      <c r="N563">
        <v>0</v>
      </c>
      <c r="O563">
        <v>2</v>
      </c>
      <c r="P563">
        <v>2</v>
      </c>
    </row>
    <row r="564" spans="1:16" x14ac:dyDescent="0.3">
      <c r="A564">
        <v>73</v>
      </c>
      <c r="B564" s="1">
        <v>40547</v>
      </c>
      <c r="C564">
        <v>1</v>
      </c>
      <c r="D564">
        <v>0</v>
      </c>
      <c r="E564">
        <v>1</v>
      </c>
      <c r="F564">
        <v>4</v>
      </c>
      <c r="G564" t="b">
        <v>0</v>
      </c>
      <c r="H564">
        <v>2</v>
      </c>
      <c r="I564">
        <v>1</v>
      </c>
      <c r="J564">
        <v>0.14000000000000001</v>
      </c>
      <c r="K564">
        <v>0.18179999999999999</v>
      </c>
      <c r="L564">
        <v>0.63</v>
      </c>
      <c r="M564">
        <v>8.9599999999999999E-2</v>
      </c>
      <c r="N564">
        <v>0</v>
      </c>
      <c r="O564">
        <v>2</v>
      </c>
      <c r="P564">
        <v>2</v>
      </c>
    </row>
    <row r="565" spans="1:16" x14ac:dyDescent="0.3">
      <c r="A565">
        <v>95</v>
      </c>
      <c r="B565" s="1">
        <v>40548</v>
      </c>
      <c r="C565">
        <v>1</v>
      </c>
      <c r="D565">
        <v>0</v>
      </c>
      <c r="E565">
        <v>1</v>
      </c>
      <c r="F565">
        <v>2</v>
      </c>
      <c r="G565" t="b">
        <v>0</v>
      </c>
      <c r="H565">
        <v>3</v>
      </c>
      <c r="I565">
        <v>1</v>
      </c>
      <c r="J565">
        <v>0.16</v>
      </c>
      <c r="K565">
        <v>0.19700000000000001</v>
      </c>
      <c r="L565">
        <v>0.74</v>
      </c>
      <c r="M565">
        <v>8.9599999999999999E-2</v>
      </c>
      <c r="N565">
        <v>0</v>
      </c>
      <c r="O565">
        <v>2</v>
      </c>
      <c r="P565">
        <v>2</v>
      </c>
    </row>
    <row r="566" spans="1:16" x14ac:dyDescent="0.3">
      <c r="A566">
        <v>96</v>
      </c>
      <c r="B566" s="1">
        <v>40548</v>
      </c>
      <c r="C566">
        <v>1</v>
      </c>
      <c r="D566">
        <v>0</v>
      </c>
      <c r="E566">
        <v>1</v>
      </c>
      <c r="F566">
        <v>4</v>
      </c>
      <c r="G566" t="b">
        <v>0</v>
      </c>
      <c r="H566">
        <v>3</v>
      </c>
      <c r="I566">
        <v>1</v>
      </c>
      <c r="J566">
        <v>0.24</v>
      </c>
      <c r="K566">
        <v>0.2273</v>
      </c>
      <c r="L566">
        <v>0.48</v>
      </c>
      <c r="M566">
        <v>0.22389999999999999</v>
      </c>
      <c r="N566">
        <v>0</v>
      </c>
      <c r="O566">
        <v>2</v>
      </c>
      <c r="P566">
        <v>2</v>
      </c>
    </row>
    <row r="567" spans="1:16" x14ac:dyDescent="0.3">
      <c r="A567">
        <v>118</v>
      </c>
      <c r="B567" s="1">
        <v>40549</v>
      </c>
      <c r="C567">
        <v>1</v>
      </c>
      <c r="D567">
        <v>0</v>
      </c>
      <c r="E567">
        <v>1</v>
      </c>
      <c r="F567">
        <v>2</v>
      </c>
      <c r="G567" t="b">
        <v>0</v>
      </c>
      <c r="H567">
        <v>4</v>
      </c>
      <c r="I567">
        <v>1</v>
      </c>
      <c r="J567">
        <v>0.16</v>
      </c>
      <c r="K567">
        <v>0.2273</v>
      </c>
      <c r="L567">
        <v>0.64</v>
      </c>
      <c r="M567">
        <v>0</v>
      </c>
      <c r="N567">
        <v>0</v>
      </c>
      <c r="O567">
        <v>2</v>
      </c>
      <c r="P567">
        <v>2</v>
      </c>
    </row>
    <row r="568" spans="1:16" x14ac:dyDescent="0.3">
      <c r="A568">
        <v>168</v>
      </c>
      <c r="B568" s="1">
        <v>40551</v>
      </c>
      <c r="C568">
        <v>1</v>
      </c>
      <c r="D568">
        <v>0</v>
      </c>
      <c r="E568">
        <v>1</v>
      </c>
      <c r="F568">
        <v>6</v>
      </c>
      <c r="G568" t="b">
        <v>0</v>
      </c>
      <c r="H568">
        <v>6</v>
      </c>
      <c r="I568">
        <v>2</v>
      </c>
      <c r="J568">
        <v>0.16</v>
      </c>
      <c r="K568">
        <v>0.16669999999999999</v>
      </c>
      <c r="L568">
        <v>0.74</v>
      </c>
      <c r="M568">
        <v>0.16420000000000001</v>
      </c>
      <c r="N568">
        <v>0</v>
      </c>
      <c r="O568">
        <v>2</v>
      </c>
      <c r="P568">
        <v>2</v>
      </c>
    </row>
    <row r="569" spans="1:16" x14ac:dyDescent="0.3">
      <c r="A569">
        <v>279</v>
      </c>
      <c r="B569" s="1">
        <v>40556</v>
      </c>
      <c r="C569">
        <v>1</v>
      </c>
      <c r="D569">
        <v>0</v>
      </c>
      <c r="E569">
        <v>1</v>
      </c>
      <c r="F569">
        <v>1</v>
      </c>
      <c r="G569" t="b">
        <v>0</v>
      </c>
      <c r="H569">
        <v>4</v>
      </c>
      <c r="I569">
        <v>1</v>
      </c>
      <c r="J569">
        <v>0.14000000000000001</v>
      </c>
      <c r="K569">
        <v>0.1212</v>
      </c>
      <c r="L569">
        <v>0.5</v>
      </c>
      <c r="M569">
        <v>0.28360000000000002</v>
      </c>
      <c r="N569">
        <v>0</v>
      </c>
      <c r="O569">
        <v>2</v>
      </c>
      <c r="P569">
        <v>2</v>
      </c>
    </row>
    <row r="570" spans="1:16" x14ac:dyDescent="0.3">
      <c r="A570">
        <v>280</v>
      </c>
      <c r="B570" s="1">
        <v>40556</v>
      </c>
      <c r="C570">
        <v>1</v>
      </c>
      <c r="D570">
        <v>0</v>
      </c>
      <c r="E570">
        <v>1</v>
      </c>
      <c r="F570">
        <v>2</v>
      </c>
      <c r="G570" t="b">
        <v>0</v>
      </c>
      <c r="H570">
        <v>4</v>
      </c>
      <c r="I570">
        <v>1</v>
      </c>
      <c r="J570">
        <v>0.14000000000000001</v>
      </c>
      <c r="K570">
        <v>0.1212</v>
      </c>
      <c r="L570">
        <v>0.5</v>
      </c>
      <c r="M570">
        <v>0.35820000000000002</v>
      </c>
      <c r="N570">
        <v>0</v>
      </c>
      <c r="O570">
        <v>2</v>
      </c>
      <c r="P570">
        <v>2</v>
      </c>
    </row>
    <row r="571" spans="1:16" x14ac:dyDescent="0.3">
      <c r="A571">
        <v>354</v>
      </c>
      <c r="B571" s="1">
        <v>40559</v>
      </c>
      <c r="C571">
        <v>1</v>
      </c>
      <c r="D571">
        <v>0</v>
      </c>
      <c r="E571">
        <v>1</v>
      </c>
      <c r="F571">
        <v>5</v>
      </c>
      <c r="G571" t="b">
        <v>0</v>
      </c>
      <c r="H571">
        <v>0</v>
      </c>
      <c r="I571">
        <v>2</v>
      </c>
      <c r="J571">
        <v>0.26</v>
      </c>
      <c r="K571">
        <v>0.2576</v>
      </c>
      <c r="L571">
        <v>0.56000000000000005</v>
      </c>
      <c r="M571">
        <v>0.16420000000000001</v>
      </c>
      <c r="N571">
        <v>1</v>
      </c>
      <c r="O571">
        <v>1</v>
      </c>
      <c r="P571">
        <v>2</v>
      </c>
    </row>
    <row r="572" spans="1:16" x14ac:dyDescent="0.3">
      <c r="A572">
        <v>376</v>
      </c>
      <c r="B572" s="1">
        <v>40560</v>
      </c>
      <c r="C572">
        <v>1</v>
      </c>
      <c r="D572">
        <v>0</v>
      </c>
      <c r="E572">
        <v>1</v>
      </c>
      <c r="F572">
        <v>3</v>
      </c>
      <c r="G572" t="b">
        <v>1</v>
      </c>
      <c r="H572">
        <v>1</v>
      </c>
      <c r="I572">
        <v>2</v>
      </c>
      <c r="J572">
        <v>0.18</v>
      </c>
      <c r="K572">
        <v>0.18179999999999999</v>
      </c>
      <c r="L572">
        <v>0.43</v>
      </c>
      <c r="M572">
        <v>0.19400000000000001</v>
      </c>
      <c r="N572">
        <v>0</v>
      </c>
      <c r="O572">
        <v>2</v>
      </c>
      <c r="P572">
        <v>2</v>
      </c>
    </row>
    <row r="573" spans="1:16" x14ac:dyDescent="0.3">
      <c r="A573">
        <v>412</v>
      </c>
      <c r="B573" s="1">
        <v>40562</v>
      </c>
      <c r="C573">
        <v>1</v>
      </c>
      <c r="D573">
        <v>0</v>
      </c>
      <c r="E573">
        <v>1</v>
      </c>
      <c r="F573">
        <v>4</v>
      </c>
      <c r="G573" t="b">
        <v>0</v>
      </c>
      <c r="H573">
        <v>3</v>
      </c>
      <c r="I573">
        <v>3</v>
      </c>
      <c r="J573">
        <v>0.22</v>
      </c>
      <c r="K573">
        <v>0.2273</v>
      </c>
      <c r="L573">
        <v>0.93</v>
      </c>
      <c r="M573">
        <v>0.1343</v>
      </c>
      <c r="N573">
        <v>1</v>
      </c>
      <c r="O573">
        <v>1</v>
      </c>
      <c r="P573">
        <v>2</v>
      </c>
    </row>
    <row r="574" spans="1:16" x14ac:dyDescent="0.3">
      <c r="A574">
        <v>434</v>
      </c>
      <c r="B574" s="1">
        <v>40563</v>
      </c>
      <c r="C574">
        <v>1</v>
      </c>
      <c r="D574">
        <v>0</v>
      </c>
      <c r="E574">
        <v>1</v>
      </c>
      <c r="F574">
        <v>2</v>
      </c>
      <c r="G574" t="b">
        <v>0</v>
      </c>
      <c r="H574">
        <v>4</v>
      </c>
      <c r="I574">
        <v>1</v>
      </c>
      <c r="J574">
        <v>0.26</v>
      </c>
      <c r="K574">
        <v>0.2727</v>
      </c>
      <c r="L574">
        <v>0.56000000000000005</v>
      </c>
      <c r="M574">
        <v>0</v>
      </c>
      <c r="N574">
        <v>0</v>
      </c>
      <c r="O574">
        <v>2</v>
      </c>
      <c r="P574">
        <v>2</v>
      </c>
    </row>
    <row r="575" spans="1:16" x14ac:dyDescent="0.3">
      <c r="A575">
        <v>458</v>
      </c>
      <c r="B575" s="1">
        <v>40564</v>
      </c>
      <c r="C575">
        <v>1</v>
      </c>
      <c r="D575">
        <v>0</v>
      </c>
      <c r="E575">
        <v>1</v>
      </c>
      <c r="F575">
        <v>2</v>
      </c>
      <c r="G575" t="b">
        <v>0</v>
      </c>
      <c r="H575">
        <v>5</v>
      </c>
      <c r="I575">
        <v>3</v>
      </c>
      <c r="J575">
        <v>0.24</v>
      </c>
      <c r="K575">
        <v>0.2424</v>
      </c>
      <c r="L575">
        <v>0.75</v>
      </c>
      <c r="M575">
        <v>0.16420000000000001</v>
      </c>
      <c r="N575">
        <v>0</v>
      </c>
      <c r="O575">
        <v>2</v>
      </c>
      <c r="P575">
        <v>2</v>
      </c>
    </row>
    <row r="576" spans="1:16" x14ac:dyDescent="0.3">
      <c r="A576">
        <v>485</v>
      </c>
      <c r="B576" s="1">
        <v>40565</v>
      </c>
      <c r="C576">
        <v>1</v>
      </c>
      <c r="D576">
        <v>0</v>
      </c>
      <c r="E576">
        <v>1</v>
      </c>
      <c r="F576">
        <v>6</v>
      </c>
      <c r="G576" t="b">
        <v>0</v>
      </c>
      <c r="H576">
        <v>6</v>
      </c>
      <c r="I576">
        <v>2</v>
      </c>
      <c r="J576">
        <v>0.02</v>
      </c>
      <c r="K576">
        <v>3.0300000000000001E-2</v>
      </c>
      <c r="L576">
        <v>0.44</v>
      </c>
      <c r="M576">
        <v>0.22389999999999999</v>
      </c>
      <c r="N576">
        <v>0</v>
      </c>
      <c r="O576">
        <v>2</v>
      </c>
      <c r="P576">
        <v>2</v>
      </c>
    </row>
    <row r="577" spans="1:16" x14ac:dyDescent="0.3">
      <c r="A577">
        <v>509</v>
      </c>
      <c r="B577" s="1">
        <v>40566</v>
      </c>
      <c r="C577">
        <v>1</v>
      </c>
      <c r="D577">
        <v>0</v>
      </c>
      <c r="E577">
        <v>1</v>
      </c>
      <c r="F577">
        <v>7</v>
      </c>
      <c r="G577" t="b">
        <v>0</v>
      </c>
      <c r="H577">
        <v>0</v>
      </c>
      <c r="I577">
        <v>1</v>
      </c>
      <c r="J577">
        <v>0.08</v>
      </c>
      <c r="K577">
        <v>0.1061</v>
      </c>
      <c r="L577">
        <v>0.57999999999999996</v>
      </c>
      <c r="M577">
        <v>0.16420000000000001</v>
      </c>
      <c r="N577">
        <v>1</v>
      </c>
      <c r="O577">
        <v>1</v>
      </c>
      <c r="P577">
        <v>2</v>
      </c>
    </row>
    <row r="578" spans="1:16" x14ac:dyDescent="0.3">
      <c r="A578">
        <v>551</v>
      </c>
      <c r="B578" s="1">
        <v>40568</v>
      </c>
      <c r="C578">
        <v>1</v>
      </c>
      <c r="D578">
        <v>0</v>
      </c>
      <c r="E578">
        <v>1</v>
      </c>
      <c r="F578">
        <v>2</v>
      </c>
      <c r="G578" t="b">
        <v>0</v>
      </c>
      <c r="H578">
        <v>2</v>
      </c>
      <c r="I578">
        <v>1</v>
      </c>
      <c r="J578">
        <v>0.16</v>
      </c>
      <c r="K578">
        <v>0.1515</v>
      </c>
      <c r="L578">
        <v>0.69</v>
      </c>
      <c r="M578">
        <v>0.22389999999999999</v>
      </c>
      <c r="N578">
        <v>0</v>
      </c>
      <c r="O578">
        <v>2</v>
      </c>
      <c r="P578">
        <v>2</v>
      </c>
    </row>
    <row r="579" spans="1:16" x14ac:dyDescent="0.3">
      <c r="A579">
        <v>598</v>
      </c>
      <c r="B579" s="1">
        <v>40571</v>
      </c>
      <c r="C579">
        <v>1</v>
      </c>
      <c r="D579">
        <v>0</v>
      </c>
      <c r="E579">
        <v>1</v>
      </c>
      <c r="F579">
        <v>2</v>
      </c>
      <c r="G579" t="b">
        <v>0</v>
      </c>
      <c r="H579">
        <v>5</v>
      </c>
      <c r="I579">
        <v>2</v>
      </c>
      <c r="J579">
        <v>0.2</v>
      </c>
      <c r="K579">
        <v>0.21210000000000001</v>
      </c>
      <c r="L579">
        <v>0.75</v>
      </c>
      <c r="M579">
        <v>0.16420000000000001</v>
      </c>
      <c r="N579">
        <v>0</v>
      </c>
      <c r="O579">
        <v>2</v>
      </c>
      <c r="P579">
        <v>2</v>
      </c>
    </row>
    <row r="580" spans="1:16" x14ac:dyDescent="0.3">
      <c r="A580">
        <v>5</v>
      </c>
      <c r="B580" s="1">
        <v>40544</v>
      </c>
      <c r="C580">
        <v>1</v>
      </c>
      <c r="D580">
        <v>0</v>
      </c>
      <c r="E580">
        <v>1</v>
      </c>
      <c r="F580">
        <v>4</v>
      </c>
      <c r="G580" t="b">
        <v>0</v>
      </c>
      <c r="H580">
        <v>6</v>
      </c>
      <c r="I580">
        <v>1</v>
      </c>
      <c r="J580">
        <v>0.24</v>
      </c>
      <c r="K580">
        <v>0.28789999999999999</v>
      </c>
      <c r="L580">
        <v>0.75</v>
      </c>
      <c r="M580">
        <v>0</v>
      </c>
      <c r="N580">
        <v>0</v>
      </c>
      <c r="O580">
        <v>1</v>
      </c>
      <c r="P580">
        <v>1</v>
      </c>
    </row>
    <row r="581" spans="1:16" x14ac:dyDescent="0.3">
      <c r="A581">
        <v>6</v>
      </c>
      <c r="B581" s="1">
        <v>40544</v>
      </c>
      <c r="C581">
        <v>1</v>
      </c>
      <c r="D581">
        <v>0</v>
      </c>
      <c r="E581">
        <v>1</v>
      </c>
      <c r="F581">
        <v>5</v>
      </c>
      <c r="G581" t="b">
        <v>0</v>
      </c>
      <c r="H581">
        <v>6</v>
      </c>
      <c r="I581">
        <v>2</v>
      </c>
      <c r="J581">
        <v>0.24</v>
      </c>
      <c r="K581">
        <v>0.2576</v>
      </c>
      <c r="L581">
        <v>0.75</v>
      </c>
      <c r="M581">
        <v>8.9599999999999999E-2</v>
      </c>
      <c r="N581">
        <v>0</v>
      </c>
      <c r="O581">
        <v>1</v>
      </c>
      <c r="P581">
        <v>1</v>
      </c>
    </row>
    <row r="582" spans="1:16" x14ac:dyDescent="0.3">
      <c r="A582">
        <v>31</v>
      </c>
      <c r="B582" s="1">
        <v>40545</v>
      </c>
      <c r="C582">
        <v>1</v>
      </c>
      <c r="D582">
        <v>0</v>
      </c>
      <c r="E582">
        <v>1</v>
      </c>
      <c r="F582">
        <v>7</v>
      </c>
      <c r="G582" t="b">
        <v>0</v>
      </c>
      <c r="H582">
        <v>0</v>
      </c>
      <c r="I582">
        <v>2</v>
      </c>
      <c r="J582">
        <v>0.4</v>
      </c>
      <c r="K582">
        <v>0.40910000000000002</v>
      </c>
      <c r="L582">
        <v>0.76</v>
      </c>
      <c r="M582">
        <v>0.19400000000000001</v>
      </c>
      <c r="N582">
        <v>0</v>
      </c>
      <c r="O582">
        <v>1</v>
      </c>
      <c r="P582">
        <v>1</v>
      </c>
    </row>
    <row r="583" spans="1:16" x14ac:dyDescent="0.3">
      <c r="A583">
        <v>50</v>
      </c>
      <c r="B583" s="1">
        <v>40546</v>
      </c>
      <c r="C583">
        <v>1</v>
      </c>
      <c r="D583">
        <v>0</v>
      </c>
      <c r="E583">
        <v>1</v>
      </c>
      <c r="F583">
        <v>4</v>
      </c>
      <c r="G583" t="b">
        <v>0</v>
      </c>
      <c r="H583">
        <v>1</v>
      </c>
      <c r="I583">
        <v>1</v>
      </c>
      <c r="J583">
        <v>0.16</v>
      </c>
      <c r="K583">
        <v>0.13639999999999999</v>
      </c>
      <c r="L583">
        <v>0.47</v>
      </c>
      <c r="M583">
        <v>0.3881</v>
      </c>
      <c r="N583">
        <v>0</v>
      </c>
      <c r="O583">
        <v>1</v>
      </c>
      <c r="P583">
        <v>1</v>
      </c>
    </row>
    <row r="584" spans="1:16" x14ac:dyDescent="0.3">
      <c r="A584">
        <v>72</v>
      </c>
      <c r="B584" s="1">
        <v>40547</v>
      </c>
      <c r="C584">
        <v>1</v>
      </c>
      <c r="D584">
        <v>0</v>
      </c>
      <c r="E584">
        <v>1</v>
      </c>
      <c r="F584">
        <v>2</v>
      </c>
      <c r="G584" t="b">
        <v>0</v>
      </c>
      <c r="H584">
        <v>2</v>
      </c>
      <c r="I584">
        <v>1</v>
      </c>
      <c r="J584">
        <v>0.14000000000000001</v>
      </c>
      <c r="K584">
        <v>0.1515</v>
      </c>
      <c r="L584">
        <v>0.63</v>
      </c>
      <c r="M584">
        <v>0.1343</v>
      </c>
      <c r="N584">
        <v>0</v>
      </c>
      <c r="O584">
        <v>1</v>
      </c>
      <c r="P584">
        <v>1</v>
      </c>
    </row>
    <row r="585" spans="1:16" x14ac:dyDescent="0.3">
      <c r="A585">
        <v>119</v>
      </c>
      <c r="B585" s="1">
        <v>40549</v>
      </c>
      <c r="C585">
        <v>1</v>
      </c>
      <c r="D585">
        <v>0</v>
      </c>
      <c r="E585">
        <v>1</v>
      </c>
      <c r="F585">
        <v>4</v>
      </c>
      <c r="G585" t="b">
        <v>0</v>
      </c>
      <c r="H585">
        <v>4</v>
      </c>
      <c r="I585">
        <v>2</v>
      </c>
      <c r="J585">
        <v>0.16</v>
      </c>
      <c r="K585">
        <v>0.19700000000000001</v>
      </c>
      <c r="L585">
        <v>0.64</v>
      </c>
      <c r="M585">
        <v>8.9599999999999999E-2</v>
      </c>
      <c r="N585">
        <v>0</v>
      </c>
      <c r="O585">
        <v>1</v>
      </c>
      <c r="P585">
        <v>1</v>
      </c>
    </row>
    <row r="586" spans="1:16" x14ac:dyDescent="0.3">
      <c r="A586">
        <v>141</v>
      </c>
      <c r="B586" s="1">
        <v>40550</v>
      </c>
      <c r="C586">
        <v>1</v>
      </c>
      <c r="D586">
        <v>0</v>
      </c>
      <c r="E586">
        <v>1</v>
      </c>
      <c r="F586">
        <v>2</v>
      </c>
      <c r="G586" t="b">
        <v>0</v>
      </c>
      <c r="H586">
        <v>5</v>
      </c>
      <c r="I586">
        <v>2</v>
      </c>
      <c r="J586">
        <v>0.2</v>
      </c>
      <c r="K586">
        <v>0.19700000000000001</v>
      </c>
      <c r="L586">
        <v>0.69</v>
      </c>
      <c r="M586">
        <v>0.22389999999999999</v>
      </c>
      <c r="N586">
        <v>0</v>
      </c>
      <c r="O586">
        <v>1</v>
      </c>
      <c r="P586">
        <v>1</v>
      </c>
    </row>
    <row r="587" spans="1:16" x14ac:dyDescent="0.3">
      <c r="A587">
        <v>142</v>
      </c>
      <c r="B587" s="1">
        <v>40550</v>
      </c>
      <c r="C587">
        <v>1</v>
      </c>
      <c r="D587">
        <v>0</v>
      </c>
      <c r="E587">
        <v>1</v>
      </c>
      <c r="F587">
        <v>4</v>
      </c>
      <c r="G587" t="b">
        <v>0</v>
      </c>
      <c r="H587">
        <v>5</v>
      </c>
      <c r="I587">
        <v>2</v>
      </c>
      <c r="J587">
        <v>0.2</v>
      </c>
      <c r="K587">
        <v>0.21210000000000001</v>
      </c>
      <c r="L587">
        <v>0.69</v>
      </c>
      <c r="M587">
        <v>0.1343</v>
      </c>
      <c r="N587">
        <v>0</v>
      </c>
      <c r="O587">
        <v>1</v>
      </c>
      <c r="P587">
        <v>1</v>
      </c>
    </row>
    <row r="588" spans="1:16" x14ac:dyDescent="0.3">
      <c r="A588">
        <v>166</v>
      </c>
      <c r="B588" s="1">
        <v>40551</v>
      </c>
      <c r="C588">
        <v>1</v>
      </c>
      <c r="D588">
        <v>0</v>
      </c>
      <c r="E588">
        <v>1</v>
      </c>
      <c r="F588">
        <v>4</v>
      </c>
      <c r="G588" t="b">
        <v>0</v>
      </c>
      <c r="H588">
        <v>6</v>
      </c>
      <c r="I588">
        <v>3</v>
      </c>
      <c r="J588">
        <v>0.18</v>
      </c>
      <c r="K588">
        <v>0.19700000000000001</v>
      </c>
      <c r="L588">
        <v>0.55000000000000004</v>
      </c>
      <c r="M588">
        <v>0.16420000000000001</v>
      </c>
      <c r="N588">
        <v>0</v>
      </c>
      <c r="O588">
        <v>1</v>
      </c>
      <c r="P588">
        <v>1</v>
      </c>
    </row>
    <row r="589" spans="1:16" x14ac:dyDescent="0.3">
      <c r="A589">
        <v>190</v>
      </c>
      <c r="B589" s="1">
        <v>40552</v>
      </c>
      <c r="C589">
        <v>1</v>
      </c>
      <c r="D589">
        <v>0</v>
      </c>
      <c r="E589">
        <v>1</v>
      </c>
      <c r="F589">
        <v>4</v>
      </c>
      <c r="G589" t="b">
        <v>0</v>
      </c>
      <c r="H589">
        <v>0</v>
      </c>
      <c r="I589">
        <v>1</v>
      </c>
      <c r="J589">
        <v>0.08</v>
      </c>
      <c r="K589">
        <v>9.0899999999999995E-2</v>
      </c>
      <c r="L589">
        <v>0.53</v>
      </c>
      <c r="M589">
        <v>0.19400000000000001</v>
      </c>
      <c r="N589">
        <v>0</v>
      </c>
      <c r="O589">
        <v>1</v>
      </c>
      <c r="P589">
        <v>1</v>
      </c>
    </row>
    <row r="590" spans="1:16" x14ac:dyDescent="0.3">
      <c r="A590">
        <v>192</v>
      </c>
      <c r="B590" s="1">
        <v>40552</v>
      </c>
      <c r="C590">
        <v>1</v>
      </c>
      <c r="D590">
        <v>0</v>
      </c>
      <c r="E590">
        <v>1</v>
      </c>
      <c r="F590">
        <v>6</v>
      </c>
      <c r="G590" t="b">
        <v>0</v>
      </c>
      <c r="H590">
        <v>0</v>
      </c>
      <c r="I590">
        <v>1</v>
      </c>
      <c r="J590">
        <v>0.1</v>
      </c>
      <c r="K590">
        <v>9.0899999999999995E-2</v>
      </c>
      <c r="L590">
        <v>0.49</v>
      </c>
      <c r="M590">
        <v>0.28360000000000002</v>
      </c>
      <c r="N590">
        <v>0</v>
      </c>
      <c r="O590">
        <v>1</v>
      </c>
      <c r="P590">
        <v>1</v>
      </c>
    </row>
    <row r="591" spans="1:16" x14ac:dyDescent="0.3">
      <c r="A591">
        <v>211</v>
      </c>
      <c r="B591" s="1">
        <v>40553</v>
      </c>
      <c r="C591">
        <v>1</v>
      </c>
      <c r="D591">
        <v>0</v>
      </c>
      <c r="E591">
        <v>1</v>
      </c>
      <c r="F591">
        <v>1</v>
      </c>
      <c r="G591" t="b">
        <v>0</v>
      </c>
      <c r="H591">
        <v>1</v>
      </c>
      <c r="I591">
        <v>1</v>
      </c>
      <c r="J591">
        <v>0.12</v>
      </c>
      <c r="K591">
        <v>0.1212</v>
      </c>
      <c r="L591">
        <v>0.5</v>
      </c>
      <c r="M591">
        <v>0.28360000000000002</v>
      </c>
      <c r="N591">
        <v>1</v>
      </c>
      <c r="O591">
        <v>0</v>
      </c>
      <c r="P591">
        <v>1</v>
      </c>
    </row>
    <row r="592" spans="1:16" x14ac:dyDescent="0.3">
      <c r="A592">
        <v>213</v>
      </c>
      <c r="B592" s="1">
        <v>40553</v>
      </c>
      <c r="C592">
        <v>1</v>
      </c>
      <c r="D592">
        <v>0</v>
      </c>
      <c r="E592">
        <v>1</v>
      </c>
      <c r="F592">
        <v>3</v>
      </c>
      <c r="G592" t="b">
        <v>0</v>
      </c>
      <c r="H592">
        <v>1</v>
      </c>
      <c r="I592">
        <v>1</v>
      </c>
      <c r="J592">
        <v>0.12</v>
      </c>
      <c r="K592">
        <v>0.1212</v>
      </c>
      <c r="L592">
        <v>0.5</v>
      </c>
      <c r="M592">
        <v>0.22389999999999999</v>
      </c>
      <c r="N592">
        <v>0</v>
      </c>
      <c r="O592">
        <v>1</v>
      </c>
      <c r="P592">
        <v>1</v>
      </c>
    </row>
    <row r="593" spans="1:16" x14ac:dyDescent="0.3">
      <c r="A593">
        <v>258</v>
      </c>
      <c r="B593" s="1">
        <v>40555</v>
      </c>
      <c r="C593">
        <v>1</v>
      </c>
      <c r="D593">
        <v>0</v>
      </c>
      <c r="E593">
        <v>1</v>
      </c>
      <c r="F593">
        <v>2</v>
      </c>
      <c r="G593" t="b">
        <v>0</v>
      </c>
      <c r="H593">
        <v>3</v>
      </c>
      <c r="I593">
        <v>1</v>
      </c>
      <c r="J593">
        <v>0.14000000000000001</v>
      </c>
      <c r="K593">
        <v>0.1515</v>
      </c>
      <c r="L593">
        <v>0.86</v>
      </c>
      <c r="M593">
        <v>0.1343</v>
      </c>
      <c r="N593">
        <v>0</v>
      </c>
      <c r="O593">
        <v>1</v>
      </c>
      <c r="P593">
        <v>1</v>
      </c>
    </row>
    <row r="594" spans="1:16" x14ac:dyDescent="0.3">
      <c r="A594">
        <v>304</v>
      </c>
      <c r="B594" s="1">
        <v>40557</v>
      </c>
      <c r="C594">
        <v>1</v>
      </c>
      <c r="D594">
        <v>0</v>
      </c>
      <c r="E594">
        <v>1</v>
      </c>
      <c r="F594">
        <v>2</v>
      </c>
      <c r="G594" t="b">
        <v>0</v>
      </c>
      <c r="H594">
        <v>5</v>
      </c>
      <c r="I594">
        <v>1</v>
      </c>
      <c r="J594">
        <v>0.1</v>
      </c>
      <c r="K594">
        <v>0.1212</v>
      </c>
      <c r="L594">
        <v>0.54</v>
      </c>
      <c r="M594">
        <v>0.1343</v>
      </c>
      <c r="N594">
        <v>0</v>
      </c>
      <c r="O594">
        <v>1</v>
      </c>
      <c r="P594">
        <v>1</v>
      </c>
    </row>
    <row r="595" spans="1:16" x14ac:dyDescent="0.3">
      <c r="A595">
        <v>305</v>
      </c>
      <c r="B595" s="1">
        <v>40557</v>
      </c>
      <c r="C595">
        <v>1</v>
      </c>
      <c r="D595">
        <v>0</v>
      </c>
      <c r="E595">
        <v>1</v>
      </c>
      <c r="F595">
        <v>3</v>
      </c>
      <c r="G595" t="b">
        <v>0</v>
      </c>
      <c r="H595">
        <v>5</v>
      </c>
      <c r="I595">
        <v>1</v>
      </c>
      <c r="J595">
        <v>0.1</v>
      </c>
      <c r="K595">
        <v>0.13639999999999999</v>
      </c>
      <c r="L595">
        <v>0.54</v>
      </c>
      <c r="M595">
        <v>0.1045</v>
      </c>
      <c r="N595">
        <v>0</v>
      </c>
      <c r="O595">
        <v>1</v>
      </c>
      <c r="P595">
        <v>1</v>
      </c>
    </row>
    <row r="596" spans="1:16" x14ac:dyDescent="0.3">
      <c r="A596">
        <v>330</v>
      </c>
      <c r="B596" s="1">
        <v>40558</v>
      </c>
      <c r="C596">
        <v>1</v>
      </c>
      <c r="D596">
        <v>0</v>
      </c>
      <c r="E596">
        <v>1</v>
      </c>
      <c r="F596">
        <v>5</v>
      </c>
      <c r="G596" t="b">
        <v>0</v>
      </c>
      <c r="H596">
        <v>6</v>
      </c>
      <c r="I596">
        <v>1</v>
      </c>
      <c r="J596">
        <v>0.16</v>
      </c>
      <c r="K596">
        <v>0.2273</v>
      </c>
      <c r="L596">
        <v>0.59</v>
      </c>
      <c r="M596">
        <v>0</v>
      </c>
      <c r="N596">
        <v>0</v>
      </c>
      <c r="O596">
        <v>1</v>
      </c>
      <c r="P596">
        <v>1</v>
      </c>
    </row>
    <row r="597" spans="1:16" x14ac:dyDescent="0.3">
      <c r="A597">
        <v>353</v>
      </c>
      <c r="B597" s="1">
        <v>40559</v>
      </c>
      <c r="C597">
        <v>1</v>
      </c>
      <c r="D597">
        <v>0</v>
      </c>
      <c r="E597">
        <v>1</v>
      </c>
      <c r="F597">
        <v>4</v>
      </c>
      <c r="G597" t="b">
        <v>0</v>
      </c>
      <c r="H597">
        <v>0</v>
      </c>
      <c r="I597">
        <v>1</v>
      </c>
      <c r="J597">
        <v>0.26</v>
      </c>
      <c r="K597">
        <v>0.2576</v>
      </c>
      <c r="L597">
        <v>0.56000000000000005</v>
      </c>
      <c r="M597">
        <v>0.16420000000000001</v>
      </c>
      <c r="N597">
        <v>0</v>
      </c>
      <c r="O597">
        <v>1</v>
      </c>
      <c r="P597">
        <v>1</v>
      </c>
    </row>
    <row r="598" spans="1:16" x14ac:dyDescent="0.3">
      <c r="A598">
        <v>378</v>
      </c>
      <c r="B598" s="1">
        <v>40560</v>
      </c>
      <c r="C598">
        <v>1</v>
      </c>
      <c r="D598">
        <v>0</v>
      </c>
      <c r="E598">
        <v>1</v>
      </c>
      <c r="F598">
        <v>5</v>
      </c>
      <c r="G598" t="b">
        <v>1</v>
      </c>
      <c r="H598">
        <v>1</v>
      </c>
      <c r="I598">
        <v>2</v>
      </c>
      <c r="J598">
        <v>0.18</v>
      </c>
      <c r="K598">
        <v>0.19700000000000001</v>
      </c>
      <c r="L598">
        <v>0.43</v>
      </c>
      <c r="M598">
        <v>0.16420000000000001</v>
      </c>
      <c r="N598">
        <v>0</v>
      </c>
      <c r="O598">
        <v>1</v>
      </c>
      <c r="P598">
        <v>1</v>
      </c>
    </row>
    <row r="599" spans="1:16" x14ac:dyDescent="0.3">
      <c r="A599">
        <v>459</v>
      </c>
      <c r="B599" s="1">
        <v>40564</v>
      </c>
      <c r="C599">
        <v>1</v>
      </c>
      <c r="D599">
        <v>0</v>
      </c>
      <c r="E599">
        <v>1</v>
      </c>
      <c r="F599">
        <v>3</v>
      </c>
      <c r="G599" t="b">
        <v>0</v>
      </c>
      <c r="H599">
        <v>5</v>
      </c>
      <c r="I599">
        <v>3</v>
      </c>
      <c r="J599">
        <v>0.22</v>
      </c>
      <c r="K599">
        <v>0.21210000000000001</v>
      </c>
      <c r="L599">
        <v>0.8</v>
      </c>
      <c r="M599">
        <v>0.29849999999999999</v>
      </c>
      <c r="N599">
        <v>0</v>
      </c>
      <c r="O599">
        <v>1</v>
      </c>
      <c r="P599">
        <v>1</v>
      </c>
    </row>
    <row r="600" spans="1:16" x14ac:dyDescent="0.3">
      <c r="A600">
        <v>460</v>
      </c>
      <c r="B600" s="1">
        <v>40564</v>
      </c>
      <c r="C600">
        <v>1</v>
      </c>
      <c r="D600">
        <v>0</v>
      </c>
      <c r="E600">
        <v>1</v>
      </c>
      <c r="F600">
        <v>4</v>
      </c>
      <c r="G600" t="b">
        <v>0</v>
      </c>
      <c r="H600">
        <v>5</v>
      </c>
      <c r="I600">
        <v>2</v>
      </c>
      <c r="J600">
        <v>0.22</v>
      </c>
      <c r="K600">
        <v>0.2576</v>
      </c>
      <c r="L600">
        <v>0.87</v>
      </c>
      <c r="M600">
        <v>8.9599999999999999E-2</v>
      </c>
      <c r="N600">
        <v>0</v>
      </c>
      <c r="O600">
        <v>1</v>
      </c>
      <c r="P600">
        <v>1</v>
      </c>
    </row>
    <row r="601" spans="1:16" x14ac:dyDescent="0.3">
      <c r="A601">
        <v>508</v>
      </c>
      <c r="B601" s="1">
        <v>40566</v>
      </c>
      <c r="C601">
        <v>1</v>
      </c>
      <c r="D601">
        <v>0</v>
      </c>
      <c r="E601">
        <v>1</v>
      </c>
      <c r="F601">
        <v>6</v>
      </c>
      <c r="G601" t="b">
        <v>0</v>
      </c>
      <c r="H601">
        <v>0</v>
      </c>
      <c r="I601">
        <v>2</v>
      </c>
      <c r="J601">
        <v>0.04</v>
      </c>
      <c r="K601">
        <v>7.5800000000000006E-2</v>
      </c>
      <c r="L601">
        <v>0.56999999999999995</v>
      </c>
      <c r="M601">
        <v>0.1045</v>
      </c>
      <c r="N601">
        <v>0</v>
      </c>
      <c r="O601">
        <v>1</v>
      </c>
      <c r="P601">
        <v>1</v>
      </c>
    </row>
    <row r="602" spans="1:16" x14ac:dyDescent="0.3">
      <c r="A602">
        <v>527</v>
      </c>
      <c r="B602" s="1">
        <v>40567</v>
      </c>
      <c r="C602">
        <v>1</v>
      </c>
      <c r="D602">
        <v>0</v>
      </c>
      <c r="E602">
        <v>1</v>
      </c>
      <c r="F602">
        <v>1</v>
      </c>
      <c r="G602" t="b">
        <v>0</v>
      </c>
      <c r="H602">
        <v>1</v>
      </c>
      <c r="I602">
        <v>1</v>
      </c>
      <c r="J602">
        <v>0.04</v>
      </c>
      <c r="K602">
        <v>4.5499999999999999E-2</v>
      </c>
      <c r="L602">
        <v>0.45</v>
      </c>
      <c r="M602">
        <v>0.19400000000000001</v>
      </c>
      <c r="N602">
        <v>0</v>
      </c>
      <c r="O602">
        <v>1</v>
      </c>
      <c r="P602">
        <v>1</v>
      </c>
    </row>
    <row r="603" spans="1:16" x14ac:dyDescent="0.3">
      <c r="A603">
        <v>528</v>
      </c>
      <c r="B603" s="1">
        <v>40567</v>
      </c>
      <c r="C603">
        <v>1</v>
      </c>
      <c r="D603">
        <v>0</v>
      </c>
      <c r="E603">
        <v>1</v>
      </c>
      <c r="F603">
        <v>3</v>
      </c>
      <c r="G603" t="b">
        <v>0</v>
      </c>
      <c r="H603">
        <v>1</v>
      </c>
      <c r="I603">
        <v>1</v>
      </c>
      <c r="J603">
        <v>0.04</v>
      </c>
      <c r="K603">
        <v>3.0300000000000001E-2</v>
      </c>
      <c r="L603">
        <v>0.45</v>
      </c>
      <c r="M603">
        <v>0.25369999999999998</v>
      </c>
      <c r="N603">
        <v>0</v>
      </c>
      <c r="O603">
        <v>1</v>
      </c>
      <c r="P603">
        <v>1</v>
      </c>
    </row>
    <row r="604" spans="1:16" x14ac:dyDescent="0.3">
      <c r="A604">
        <v>529</v>
      </c>
      <c r="B604" s="1">
        <v>40567</v>
      </c>
      <c r="C604">
        <v>1</v>
      </c>
      <c r="D604">
        <v>0</v>
      </c>
      <c r="E604">
        <v>1</v>
      </c>
      <c r="F604">
        <v>4</v>
      </c>
      <c r="G604" t="b">
        <v>0</v>
      </c>
      <c r="H604">
        <v>1</v>
      </c>
      <c r="I604">
        <v>1</v>
      </c>
      <c r="J604">
        <v>0.02</v>
      </c>
      <c r="K604">
        <v>6.0600000000000001E-2</v>
      </c>
      <c r="L604">
        <v>0.48</v>
      </c>
      <c r="M604">
        <v>0.1343</v>
      </c>
      <c r="N604">
        <v>0</v>
      </c>
      <c r="O604">
        <v>1</v>
      </c>
      <c r="P604">
        <v>1</v>
      </c>
    </row>
    <row r="605" spans="1:16" x14ac:dyDescent="0.3">
      <c r="A605">
        <v>552</v>
      </c>
      <c r="B605" s="1">
        <v>40568</v>
      </c>
      <c r="C605">
        <v>1</v>
      </c>
      <c r="D605">
        <v>0</v>
      </c>
      <c r="E605">
        <v>1</v>
      </c>
      <c r="F605">
        <v>4</v>
      </c>
      <c r="G605" t="b">
        <v>0</v>
      </c>
      <c r="H605">
        <v>2</v>
      </c>
      <c r="I605">
        <v>1</v>
      </c>
      <c r="J605">
        <v>0.14000000000000001</v>
      </c>
      <c r="K605">
        <v>0.16669999999999999</v>
      </c>
      <c r="L605">
        <v>0.74</v>
      </c>
      <c r="M605">
        <v>0.1045</v>
      </c>
      <c r="N605">
        <v>0</v>
      </c>
      <c r="O605">
        <v>1</v>
      </c>
      <c r="P605">
        <v>1</v>
      </c>
    </row>
    <row r="606" spans="1:16" x14ac:dyDescent="0.3">
      <c r="A606">
        <v>575</v>
      </c>
      <c r="B606" s="1">
        <v>40569</v>
      </c>
      <c r="C606">
        <v>1</v>
      </c>
      <c r="D606">
        <v>0</v>
      </c>
      <c r="E606">
        <v>1</v>
      </c>
      <c r="F606">
        <v>5</v>
      </c>
      <c r="G606" t="b">
        <v>0</v>
      </c>
      <c r="H606">
        <v>3</v>
      </c>
      <c r="I606">
        <v>3</v>
      </c>
      <c r="J606">
        <v>0.2</v>
      </c>
      <c r="K606">
        <v>0.18179999999999999</v>
      </c>
      <c r="L606">
        <v>0.86</v>
      </c>
      <c r="M606">
        <v>0.28360000000000002</v>
      </c>
      <c r="N606">
        <v>0</v>
      </c>
      <c r="O606">
        <v>1</v>
      </c>
      <c r="P606">
        <v>1</v>
      </c>
    </row>
    <row r="607" spans="1:16" x14ac:dyDescent="0.3">
      <c r="A607">
        <v>599</v>
      </c>
      <c r="B607" s="1">
        <v>40571</v>
      </c>
      <c r="C607">
        <v>1</v>
      </c>
      <c r="D607">
        <v>0</v>
      </c>
      <c r="E607">
        <v>1</v>
      </c>
      <c r="F607">
        <v>3</v>
      </c>
      <c r="G607" t="b">
        <v>0</v>
      </c>
      <c r="H607">
        <v>5</v>
      </c>
      <c r="I607">
        <v>2</v>
      </c>
      <c r="J607">
        <v>0.2</v>
      </c>
      <c r="K607">
        <v>0.2273</v>
      </c>
      <c r="L607">
        <v>0.75</v>
      </c>
      <c r="M607">
        <v>0.1045</v>
      </c>
      <c r="N607">
        <v>1</v>
      </c>
      <c r="O607">
        <v>0</v>
      </c>
      <c r="P607">
        <v>1</v>
      </c>
    </row>
    <row r="608" spans="1:16" hidden="1" x14ac:dyDescent="0.3">
      <c r="B608" s="1"/>
    </row>
    <row r="611" spans="8:9" x14ac:dyDescent="0.3">
      <c r="H611" t="s">
        <v>24</v>
      </c>
      <c r="I611">
        <f>SUM(P4:P607)</f>
        <v>33407</v>
      </c>
    </row>
    <row r="612" spans="8:9" x14ac:dyDescent="0.3">
      <c r="H612" t="s">
        <v>25</v>
      </c>
      <c r="I612">
        <f>SUM(F3:F607)</f>
        <v>7169</v>
      </c>
    </row>
  </sheetData>
  <conditionalFormatting sqref="F1:F1048576">
    <cfRule type="colorScale" priority="3">
      <colorScale>
        <cfvo type="min"/>
        <cfvo type="percentile" val="50"/>
        <cfvo type="max"/>
        <color rgb="FFF8696B"/>
        <color rgb="FFFFEB84"/>
        <color rgb="FF63BE7B"/>
      </colorScale>
    </cfRule>
  </conditionalFormatting>
  <conditionalFormatting sqref="G1:G1048576">
    <cfRule type="cellIs" dxfId="12" priority="4" operator="equal">
      <formula>TRUE</formula>
    </cfRule>
    <cfRule type="cellIs" dxfId="11" priority="5" operator="equal">
      <formula>1</formula>
    </cfRule>
  </conditionalFormatting>
  <conditionalFormatting sqref="I1:I1048576">
    <cfRule type="iconSet" priority="2">
      <iconSet iconSet="4TrafficLights">
        <cfvo type="percent" val="0"/>
        <cfvo type="percent" val="25"/>
        <cfvo type="percent" val="50"/>
        <cfvo type="percent" val="75"/>
      </iconSet>
    </cfRule>
  </conditionalFormatting>
  <conditionalFormatting sqref="I2:I608">
    <cfRule type="iconSet" priority="1">
      <iconSet iconSet="4TrafficLights">
        <cfvo type="percent" val="0"/>
        <cfvo type="percent" val="25"/>
        <cfvo type="percent" val="50"/>
        <cfvo type="percent" val="75"/>
      </iconSet>
    </cfRule>
  </conditionalFormatting>
  <conditionalFormatting sqref="I613">
    <cfRule type="top10" dxfId="10" priority="12" percent="1" rank="10"/>
  </conditionalFormatting>
  <conditionalFormatting sqref="J1:J1048576">
    <cfRule type="cellIs" dxfId="9" priority="8" operator="greaterThan">
      <formula>0.3</formula>
    </cfRule>
    <cfRule type="colorScale" priority="9">
      <colorScale>
        <cfvo type="min"/>
        <cfvo type="percentile" val="50"/>
        <cfvo type="max"/>
        <color rgb="FF63BE7B"/>
        <color rgb="FFFFEB84"/>
        <color rgb="FFF8696B"/>
      </colorScale>
    </cfRule>
  </conditionalFormatting>
  <conditionalFormatting sqref="L1:L1048576">
    <cfRule type="cellIs" dxfId="8" priority="7" operator="greaterThan">
      <formula>0.8</formula>
    </cfRule>
  </conditionalFormatting>
  <conditionalFormatting sqref="M1:M1048576">
    <cfRule type="cellIs" dxfId="7" priority="6" operator="greaterThan">
      <formula>0.4</formula>
    </cfRule>
  </conditionalFormatting>
  <conditionalFormatting sqref="P2:P608">
    <cfRule type="top10" dxfId="6" priority="11" percent="1" rank="10"/>
  </conditionalFormatting>
  <conditionalFormatting sqref="P4:P60">
    <cfRule type="top10" dxfId="5" priority="10" percent="1" rank="10"/>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EA362-6BE0-45E8-A96F-8C432144A640}">
  <dimension ref="A1:E43"/>
  <sheetViews>
    <sheetView workbookViewId="0">
      <selection activeCell="H3" sqref="H3"/>
    </sheetView>
  </sheetViews>
  <sheetFormatPr defaultRowHeight="14.4" x14ac:dyDescent="0.3"/>
  <cols>
    <col min="1" max="1" width="10.33203125" bestFit="1" customWidth="1"/>
    <col min="2" max="2" width="14.33203125" customWidth="1"/>
    <col min="3" max="3" width="22.6640625" customWidth="1"/>
    <col min="4" max="4" width="36.77734375" customWidth="1"/>
    <col min="5" max="5" width="36.88671875" customWidth="1"/>
  </cols>
  <sheetData>
    <row r="1" spans="1:5" x14ac:dyDescent="0.3">
      <c r="A1" t="s">
        <v>1</v>
      </c>
      <c r="B1" t="s">
        <v>22</v>
      </c>
      <c r="C1" t="s">
        <v>38</v>
      </c>
      <c r="D1" t="s">
        <v>39</v>
      </c>
      <c r="E1" t="s">
        <v>40</v>
      </c>
    </row>
    <row r="2" spans="1:5" x14ac:dyDescent="0.3">
      <c r="A2" s="1">
        <v>40544</v>
      </c>
      <c r="B2">
        <v>41.041666666666664</v>
      </c>
    </row>
    <row r="3" spans="1:5" x14ac:dyDescent="0.3">
      <c r="A3" s="1">
        <v>40545</v>
      </c>
      <c r="B3">
        <v>34.826086956521742</v>
      </c>
    </row>
    <row r="4" spans="1:5" x14ac:dyDescent="0.3">
      <c r="A4" s="1">
        <v>40546</v>
      </c>
      <c r="B4">
        <v>61.31818181818182</v>
      </c>
    </row>
    <row r="5" spans="1:5" x14ac:dyDescent="0.3">
      <c r="A5" s="1">
        <v>40547</v>
      </c>
      <c r="B5">
        <v>67.913043478260875</v>
      </c>
    </row>
    <row r="6" spans="1:5" x14ac:dyDescent="0.3">
      <c r="A6" s="1">
        <v>40548</v>
      </c>
      <c r="B6">
        <v>69.565217391304344</v>
      </c>
    </row>
    <row r="7" spans="1:5" x14ac:dyDescent="0.3">
      <c r="A7" s="1">
        <v>40549</v>
      </c>
      <c r="B7">
        <v>69.826086956521735</v>
      </c>
    </row>
    <row r="8" spans="1:5" x14ac:dyDescent="0.3">
      <c r="A8" s="1">
        <v>40550</v>
      </c>
      <c r="B8">
        <v>65.652173913043484</v>
      </c>
    </row>
    <row r="9" spans="1:5" x14ac:dyDescent="0.3">
      <c r="A9" s="1">
        <v>40551</v>
      </c>
      <c r="B9">
        <v>39.958333333333336</v>
      </c>
    </row>
    <row r="10" spans="1:5" x14ac:dyDescent="0.3">
      <c r="A10" s="1">
        <v>40552</v>
      </c>
      <c r="B10">
        <v>35.695652173913047</v>
      </c>
    </row>
    <row r="11" spans="1:5" x14ac:dyDescent="0.3">
      <c r="A11" s="1">
        <v>40553</v>
      </c>
      <c r="B11">
        <v>55.041666666666664</v>
      </c>
    </row>
    <row r="12" spans="1:5" x14ac:dyDescent="0.3">
      <c r="A12" s="1">
        <v>40554</v>
      </c>
      <c r="B12">
        <v>57.409090909090907</v>
      </c>
    </row>
    <row r="13" spans="1:5" x14ac:dyDescent="0.3">
      <c r="A13" s="1">
        <v>40555</v>
      </c>
      <c r="B13">
        <v>52.81818181818182</v>
      </c>
    </row>
    <row r="14" spans="1:5" x14ac:dyDescent="0.3">
      <c r="A14" s="1">
        <v>40556</v>
      </c>
      <c r="B14">
        <v>58.583333333333336</v>
      </c>
    </row>
    <row r="15" spans="1:5" x14ac:dyDescent="0.3">
      <c r="A15" s="1">
        <v>40557</v>
      </c>
      <c r="B15">
        <v>61.782608695652172</v>
      </c>
    </row>
    <row r="16" spans="1:5" x14ac:dyDescent="0.3">
      <c r="A16" s="1">
        <v>40558</v>
      </c>
      <c r="B16">
        <v>52</v>
      </c>
    </row>
    <row r="17" spans="1:5" x14ac:dyDescent="0.3">
      <c r="A17" s="1">
        <v>40559</v>
      </c>
      <c r="B17">
        <v>52.304347826086953</v>
      </c>
    </row>
    <row r="18" spans="1:5" x14ac:dyDescent="0.3">
      <c r="A18" s="1">
        <v>40560</v>
      </c>
      <c r="B18">
        <v>41.666666666666664</v>
      </c>
    </row>
    <row r="19" spans="1:5" x14ac:dyDescent="0.3">
      <c r="A19" s="1">
        <v>40561</v>
      </c>
      <c r="B19">
        <v>56.916666666666664</v>
      </c>
    </row>
    <row r="20" spans="1:5" x14ac:dyDescent="0.3">
      <c r="A20" s="1">
        <v>40562</v>
      </c>
      <c r="B20">
        <v>71.739130434782609</v>
      </c>
    </row>
    <row r="21" spans="1:5" x14ac:dyDescent="0.3">
      <c r="A21" s="1">
        <v>40563</v>
      </c>
      <c r="B21">
        <v>87.5</v>
      </c>
    </row>
    <row r="22" spans="1:5" x14ac:dyDescent="0.3">
      <c r="A22" s="1">
        <v>40564</v>
      </c>
      <c r="B22">
        <v>64.291666666666671</v>
      </c>
    </row>
    <row r="23" spans="1:5" x14ac:dyDescent="0.3">
      <c r="A23" s="1">
        <v>40565</v>
      </c>
      <c r="B23">
        <v>42.652173913043477</v>
      </c>
    </row>
    <row r="24" spans="1:5" x14ac:dyDescent="0.3">
      <c r="A24" s="1">
        <v>40566</v>
      </c>
      <c r="B24">
        <v>42.869565217391305</v>
      </c>
    </row>
    <row r="25" spans="1:5" x14ac:dyDescent="0.3">
      <c r="A25" s="1">
        <v>40567</v>
      </c>
      <c r="B25">
        <v>61.565217391304351</v>
      </c>
    </row>
    <row r="26" spans="1:5" x14ac:dyDescent="0.3">
      <c r="A26" s="1">
        <v>40568</v>
      </c>
      <c r="B26">
        <v>79.409090909090907</v>
      </c>
    </row>
    <row r="27" spans="1:5" x14ac:dyDescent="0.3">
      <c r="A27" s="1">
        <v>40569</v>
      </c>
      <c r="B27">
        <v>31.625</v>
      </c>
    </row>
    <row r="28" spans="1:5" x14ac:dyDescent="0.3">
      <c r="A28" s="1">
        <v>40570</v>
      </c>
      <c r="B28">
        <v>53.875</v>
      </c>
    </row>
    <row r="29" spans="1:5" x14ac:dyDescent="0.3">
      <c r="A29" s="1">
        <v>40571</v>
      </c>
      <c r="B29">
        <v>38.06666666666667</v>
      </c>
      <c r="C29">
        <v>38.06666666666667</v>
      </c>
      <c r="D29" s="8">
        <v>38.06666666666667</v>
      </c>
      <c r="E29" s="8">
        <v>38.06666666666667</v>
      </c>
    </row>
    <row r="30" spans="1:5" x14ac:dyDescent="0.3">
      <c r="A30" s="1">
        <v>40572</v>
      </c>
      <c r="C30">
        <f>_xlfn.FORECAST.ETS(A30,$B$2:$B$29,$A$2:$A$29,1,1)</f>
        <v>39.718238951847567</v>
      </c>
      <c r="D30" s="8">
        <f>C30-_xlfn.FORECAST.ETS.CONFINT(A30,$B$2:$B$29,$A$2:$A$29,0.95,1,1)</f>
        <v>17.072976577220903</v>
      </c>
      <c r="E30" s="8">
        <f>C30+_xlfn.FORECAST.ETS.CONFINT(A30,$B$2:$B$29,$A$2:$A$29,0.95,1,1)</f>
        <v>62.363501326474235</v>
      </c>
    </row>
    <row r="31" spans="1:5" x14ac:dyDescent="0.3">
      <c r="A31" s="1">
        <v>40573</v>
      </c>
      <c r="C31">
        <f>_xlfn.FORECAST.ETS(A31,$B$2:$B$29,$A$2:$A$29,1,1)</f>
        <v>37.086610112796002</v>
      </c>
      <c r="D31" s="8">
        <f>C31-_xlfn.FORECAST.ETS.CONFINT(A31,$B$2:$B$29,$A$2:$A$29,0.95,1,1)</f>
        <v>14.259455520861707</v>
      </c>
      <c r="E31" s="8">
        <f>C31+_xlfn.FORECAST.ETS.CONFINT(A31,$B$2:$B$29,$A$2:$A$29,0.95,1,1)</f>
        <v>59.913764704730298</v>
      </c>
    </row>
    <row r="32" spans="1:5" x14ac:dyDescent="0.3">
      <c r="A32" s="1">
        <v>40574</v>
      </c>
      <c r="C32">
        <f>_xlfn.FORECAST.ETS(A32,$B$2:$B$29,$A$2:$A$29,1,1)</f>
        <v>52.146057486520256</v>
      </c>
      <c r="D32" s="8">
        <f>C32-_xlfn.FORECAST.ETS.CONFINT(A32,$B$2:$B$29,$A$2:$A$29,0.95,1,1)</f>
        <v>29.135607001382077</v>
      </c>
      <c r="E32" s="8">
        <f>C32+_xlfn.FORECAST.ETS.CONFINT(A32,$B$2:$B$29,$A$2:$A$29,0.95,1,1)</f>
        <v>75.156507971658442</v>
      </c>
    </row>
    <row r="33" spans="1:5" x14ac:dyDescent="0.3">
      <c r="A33" s="1">
        <v>40575</v>
      </c>
      <c r="C33">
        <f>_xlfn.FORECAST.ETS(A33,$B$2:$B$29,$A$2:$A$29,1,1)</f>
        <v>55.977266152270502</v>
      </c>
      <c r="D33" s="8">
        <f>C33-_xlfn.FORECAST.ETS.CONFINT(A33,$B$2:$B$29,$A$2:$A$29,0.95,1,1)</f>
        <v>32.782127266584027</v>
      </c>
      <c r="E33" s="8">
        <f>C33+_xlfn.FORECAST.ETS.CONFINT(A33,$B$2:$B$29,$A$2:$A$29,0.95,1,1)</f>
        <v>79.172405037956977</v>
      </c>
    </row>
    <row r="34" spans="1:5" x14ac:dyDescent="0.3">
      <c r="A34" s="1">
        <v>40576</v>
      </c>
      <c r="C34">
        <f>_xlfn.FORECAST.ETS(A34,$B$2:$B$29,$A$2:$A$29,1,1)</f>
        <v>53.40904667230722</v>
      </c>
      <c r="D34" s="8">
        <f>C34-_xlfn.FORECAST.ETS.CONFINT(A34,$B$2:$B$29,$A$2:$A$29,0.95,1,1)</f>
        <v>30.027837944532905</v>
      </c>
      <c r="E34" s="8">
        <f>C34+_xlfn.FORECAST.ETS.CONFINT(A34,$B$2:$B$29,$A$2:$A$29,0.95,1,1)</f>
        <v>76.790255400081534</v>
      </c>
    </row>
    <row r="35" spans="1:5" x14ac:dyDescent="0.3">
      <c r="A35" s="1">
        <v>40577</v>
      </c>
      <c r="C35">
        <f>_xlfn.FORECAST.ETS(A35,$B$2:$B$29,$A$2:$A$29,1,1)</f>
        <v>56.732748725088904</v>
      </c>
      <c r="D35" s="8">
        <f>C35-_xlfn.FORECAST.ETS.CONFINT(A35,$B$2:$B$29,$A$2:$A$29,0.95,1,1)</f>
        <v>33.164099674258537</v>
      </c>
      <c r="E35" s="8">
        <f>C35+_xlfn.FORECAST.ETS.CONFINT(A35,$B$2:$B$29,$A$2:$A$29,0.95,1,1)</f>
        <v>80.30139777591927</v>
      </c>
    </row>
    <row r="36" spans="1:5" x14ac:dyDescent="0.3">
      <c r="A36" s="1">
        <v>40578</v>
      </c>
      <c r="C36">
        <f>_xlfn.FORECAST.ETS(A36,$B$2:$B$29,$A$2:$A$29,1,1)</f>
        <v>55.623729414086661</v>
      </c>
      <c r="D36" s="8">
        <f>C36-_xlfn.FORECAST.ETS.CONFINT(A36,$B$2:$B$29,$A$2:$A$29,0.95,1,1)</f>
        <v>31.866280412342551</v>
      </c>
      <c r="E36" s="8">
        <f>C36+_xlfn.FORECAST.ETS.CONFINT(A36,$B$2:$B$29,$A$2:$A$29,0.95,1,1)</f>
        <v>79.381178415830774</v>
      </c>
    </row>
    <row r="37" spans="1:5" x14ac:dyDescent="0.3">
      <c r="A37" s="1">
        <v>40579</v>
      </c>
      <c r="C37">
        <f>_xlfn.FORECAST.ETS(A37,$B$2:$B$29,$A$2:$A$29,1,1)</f>
        <v>38.390206827556852</v>
      </c>
      <c r="D37" s="8">
        <f>C37-_xlfn.FORECAST.ETS.CONFINT(A37,$B$2:$B$29,$A$2:$A$29,0.95,1,1)</f>
        <v>14.439750425500506</v>
      </c>
      <c r="E37" s="8">
        <f>C37+_xlfn.FORECAST.ETS.CONFINT(A37,$B$2:$B$29,$A$2:$A$29,0.95,1,1)</f>
        <v>62.340663229613199</v>
      </c>
    </row>
    <row r="38" spans="1:5" x14ac:dyDescent="0.3">
      <c r="A38" s="1">
        <v>40580</v>
      </c>
      <c r="C38">
        <f>_xlfn.FORECAST.ETS(A38,$B$2:$B$29,$A$2:$A$29,1,1)</f>
        <v>35.758577988505287</v>
      </c>
      <c r="D38" s="8">
        <f>C38-_xlfn.FORECAST.ETS.CONFINT(A38,$B$2:$B$29,$A$2:$A$29,0.95,1,1)</f>
        <v>11.61665717297921</v>
      </c>
      <c r="E38" s="8">
        <f>C38+_xlfn.FORECAST.ETS.CONFINT(A38,$B$2:$B$29,$A$2:$A$29,0.95,1,1)</f>
        <v>59.900498804031365</v>
      </c>
    </row>
    <row r="39" spans="1:5" x14ac:dyDescent="0.3">
      <c r="A39" s="1">
        <v>40581</v>
      </c>
      <c r="C39">
        <f>_xlfn.FORECAST.ETS(A39,$B$2:$B$29,$A$2:$A$29,1,1)</f>
        <v>50.818025362229541</v>
      </c>
      <c r="D39" s="8">
        <f>C39-_xlfn.FORECAST.ETS.CONFINT(A39,$B$2:$B$29,$A$2:$A$29,0.95,1,1)</f>
        <v>26.483312197971426</v>
      </c>
      <c r="E39" s="8">
        <f>C39+_xlfn.FORECAST.ETS.CONFINT(A39,$B$2:$B$29,$A$2:$A$29,0.95,1,1)</f>
        <v>75.152738526487653</v>
      </c>
    </row>
    <row r="40" spans="1:5" x14ac:dyDescent="0.3">
      <c r="A40" s="1">
        <v>40582</v>
      </c>
      <c r="C40">
        <f>_xlfn.FORECAST.ETS(A40,$B$2:$B$29,$A$2:$A$29,1,1)</f>
        <v>54.649234027979794</v>
      </c>
      <c r="D40" s="8">
        <f>C40-_xlfn.FORECAST.ETS.CONFINT(A40,$B$2:$B$29,$A$2:$A$29,0.95,1,1)</f>
        <v>30.120410985416676</v>
      </c>
      <c r="E40" s="8">
        <f>C40+_xlfn.FORECAST.ETS.CONFINT(A40,$B$2:$B$29,$A$2:$A$29,0.95,1,1)</f>
        <v>79.178057070542906</v>
      </c>
    </row>
    <row r="41" spans="1:5" x14ac:dyDescent="0.3">
      <c r="A41" s="1">
        <v>40583</v>
      </c>
      <c r="C41">
        <f>_xlfn.FORECAST.ETS(A41,$B$2:$B$29,$A$2:$A$29,1,1)</f>
        <v>52.081014548016512</v>
      </c>
      <c r="D41" s="8">
        <f>C41-_xlfn.FORECAST.ETS.CONFINT(A41,$B$2:$B$29,$A$2:$A$29,0.95,1,1)</f>
        <v>27.356774388227542</v>
      </c>
      <c r="E41" s="8">
        <f>C41+_xlfn.FORECAST.ETS.CONFINT(A41,$B$2:$B$29,$A$2:$A$29,0.95,1,1)</f>
        <v>76.805254707805489</v>
      </c>
    </row>
    <row r="42" spans="1:5" x14ac:dyDescent="0.3">
      <c r="A42" s="1">
        <v>40584</v>
      </c>
      <c r="C42">
        <f>_xlfn.FORECAST.ETS(A42,$B$2:$B$29,$A$2:$A$29,1,1)</f>
        <v>55.404716600798196</v>
      </c>
      <c r="D42" s="8">
        <f>C42-_xlfn.FORECAST.ETS.CONFINT(A42,$B$2:$B$29,$A$2:$A$29,0.95,1,1)</f>
        <v>30.483762259538064</v>
      </c>
      <c r="E42" s="8">
        <f>C42+_xlfn.FORECAST.ETS.CONFINT(A42,$B$2:$B$29,$A$2:$A$29,0.95,1,1)</f>
        <v>80.325670942058323</v>
      </c>
    </row>
    <row r="43" spans="1:5" x14ac:dyDescent="0.3">
      <c r="A43" s="1">
        <v>40585</v>
      </c>
      <c r="C43">
        <f>_xlfn.FORECAST.ETS(A43,$B$2:$B$29,$A$2:$A$29,1,1)</f>
        <v>54.295697289795953</v>
      </c>
      <c r="D43" s="8">
        <f>C43-_xlfn.FORECAST.ETS.CONFINT(A43,$B$2:$B$29,$A$2:$A$29,0.95,1,1)</f>
        <v>29.176741760754876</v>
      </c>
      <c r="E43" s="8">
        <f>C43+_xlfn.FORECAST.ETS.CONFINT(A43,$B$2:$B$29,$A$2:$A$29,0.95,1,1)</f>
        <v>79.414652818837027</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F220-FDB5-4AF8-A0A8-1FC66C0754E7}">
  <dimension ref="A1:B607"/>
  <sheetViews>
    <sheetView topLeftCell="A579" workbookViewId="0">
      <selection activeCell="G608" sqref="G608"/>
    </sheetView>
  </sheetViews>
  <sheetFormatPr defaultRowHeight="14.4" x14ac:dyDescent="0.3"/>
  <cols>
    <col min="1" max="1" width="27.21875" bestFit="1" customWidth="1"/>
    <col min="2" max="2" width="16.6640625" customWidth="1"/>
  </cols>
  <sheetData>
    <row r="1" spans="1:2" x14ac:dyDescent="0.3">
      <c r="A1" s="7" t="s">
        <v>22</v>
      </c>
      <c r="B1" s="7" t="s">
        <v>1</v>
      </c>
    </row>
    <row r="2" spans="1:2" x14ac:dyDescent="0.3">
      <c r="A2">
        <v>249</v>
      </c>
      <c r="B2" s="1">
        <v>40563</v>
      </c>
    </row>
    <row r="3" spans="1:2" x14ac:dyDescent="0.3">
      <c r="A3" t="s">
        <v>23</v>
      </c>
      <c r="B3" s="1">
        <v>40568</v>
      </c>
    </row>
    <row r="4" spans="1:2" x14ac:dyDescent="0.3">
      <c r="A4">
        <v>225</v>
      </c>
      <c r="B4" s="1">
        <v>40568</v>
      </c>
    </row>
    <row r="5" spans="1:2" x14ac:dyDescent="0.3">
      <c r="A5">
        <v>222</v>
      </c>
      <c r="B5" s="1">
        <v>40568</v>
      </c>
    </row>
    <row r="6" spans="1:2" x14ac:dyDescent="0.3">
      <c r="A6">
        <v>219</v>
      </c>
      <c r="B6" s="1">
        <v>40549</v>
      </c>
    </row>
    <row r="7" spans="1:2" x14ac:dyDescent="0.3">
      <c r="A7">
        <v>217</v>
      </c>
      <c r="B7" s="1">
        <v>40554</v>
      </c>
    </row>
    <row r="8" spans="1:2" x14ac:dyDescent="0.3">
      <c r="A8">
        <v>217</v>
      </c>
      <c r="B8" s="1">
        <v>40564</v>
      </c>
    </row>
    <row r="9" spans="1:2" x14ac:dyDescent="0.3">
      <c r="A9">
        <v>215</v>
      </c>
      <c r="B9" s="1">
        <v>40563</v>
      </c>
    </row>
    <row r="10" spans="1:2" x14ac:dyDescent="0.3">
      <c r="A10">
        <v>212</v>
      </c>
      <c r="B10" s="1">
        <v>40547</v>
      </c>
    </row>
    <row r="11" spans="1:2" x14ac:dyDescent="0.3">
      <c r="A11">
        <v>210</v>
      </c>
      <c r="B11" s="1">
        <v>40550</v>
      </c>
    </row>
    <row r="12" spans="1:2" x14ac:dyDescent="0.3">
      <c r="A12">
        <v>202</v>
      </c>
      <c r="B12" s="1">
        <v>40556</v>
      </c>
    </row>
    <row r="13" spans="1:2" x14ac:dyDescent="0.3">
      <c r="A13">
        <v>197</v>
      </c>
      <c r="B13" s="1">
        <v>40562</v>
      </c>
    </row>
    <row r="14" spans="1:2" x14ac:dyDescent="0.3">
      <c r="A14">
        <v>197</v>
      </c>
      <c r="B14" s="1">
        <v>40562</v>
      </c>
    </row>
    <row r="15" spans="1:2" x14ac:dyDescent="0.3">
      <c r="A15">
        <v>195</v>
      </c>
      <c r="B15" s="1">
        <v>40548</v>
      </c>
    </row>
    <row r="16" spans="1:2" x14ac:dyDescent="0.3">
      <c r="A16">
        <v>190</v>
      </c>
      <c r="B16" s="1">
        <v>40548</v>
      </c>
    </row>
    <row r="17" spans="1:2" x14ac:dyDescent="0.3">
      <c r="A17">
        <v>188</v>
      </c>
      <c r="B17" s="1">
        <v>40553</v>
      </c>
    </row>
    <row r="18" spans="1:2" x14ac:dyDescent="0.3">
      <c r="A18">
        <v>187</v>
      </c>
      <c r="B18" s="1">
        <v>40550</v>
      </c>
    </row>
    <row r="19" spans="1:2" x14ac:dyDescent="0.3">
      <c r="A19">
        <v>185</v>
      </c>
      <c r="B19" s="1">
        <v>40563</v>
      </c>
    </row>
    <row r="20" spans="1:2" x14ac:dyDescent="0.3">
      <c r="A20">
        <v>184</v>
      </c>
      <c r="B20" s="1">
        <v>40567</v>
      </c>
    </row>
    <row r="21" spans="1:2" x14ac:dyDescent="0.3">
      <c r="A21">
        <v>182</v>
      </c>
      <c r="B21" s="1">
        <v>40547</v>
      </c>
    </row>
    <row r="22" spans="1:2" x14ac:dyDescent="0.3">
      <c r="A22">
        <v>179</v>
      </c>
      <c r="B22" s="1">
        <v>40547</v>
      </c>
    </row>
    <row r="23" spans="1:2" x14ac:dyDescent="0.3">
      <c r="A23">
        <v>178</v>
      </c>
      <c r="B23" s="1">
        <v>40553</v>
      </c>
    </row>
    <row r="24" spans="1:2" x14ac:dyDescent="0.3">
      <c r="A24">
        <v>177</v>
      </c>
      <c r="B24" s="1">
        <v>40567</v>
      </c>
    </row>
    <row r="25" spans="1:2" x14ac:dyDescent="0.3">
      <c r="A25">
        <v>172</v>
      </c>
      <c r="B25" s="1">
        <v>40549</v>
      </c>
    </row>
    <row r="26" spans="1:2" x14ac:dyDescent="0.3">
      <c r="A26">
        <v>169</v>
      </c>
      <c r="B26" s="1">
        <v>40548</v>
      </c>
    </row>
    <row r="27" spans="1:2" x14ac:dyDescent="0.3">
      <c r="A27">
        <v>166</v>
      </c>
      <c r="B27" s="1">
        <v>40564</v>
      </c>
    </row>
    <row r="28" spans="1:2" x14ac:dyDescent="0.3">
      <c r="A28">
        <v>163</v>
      </c>
      <c r="B28" s="1">
        <v>40549</v>
      </c>
    </row>
    <row r="29" spans="1:2" x14ac:dyDescent="0.3">
      <c r="A29">
        <v>162</v>
      </c>
      <c r="B29" s="1">
        <v>40556</v>
      </c>
    </row>
    <row r="30" spans="1:2" x14ac:dyDescent="0.3">
      <c r="A30">
        <v>161</v>
      </c>
      <c r="B30" s="1">
        <v>40562</v>
      </c>
    </row>
    <row r="31" spans="1:2" x14ac:dyDescent="0.3">
      <c r="A31">
        <v>161</v>
      </c>
      <c r="B31" s="1">
        <v>40564</v>
      </c>
    </row>
    <row r="32" spans="1:2" x14ac:dyDescent="0.3">
      <c r="A32">
        <v>159</v>
      </c>
      <c r="B32" s="1">
        <v>40557</v>
      </c>
    </row>
    <row r="33" spans="1:2" x14ac:dyDescent="0.3">
      <c r="A33">
        <v>158</v>
      </c>
      <c r="B33" s="1">
        <v>40557</v>
      </c>
    </row>
    <row r="34" spans="1:2" x14ac:dyDescent="0.3">
      <c r="A34">
        <v>157</v>
      </c>
      <c r="B34" s="1">
        <v>40546</v>
      </c>
    </row>
    <row r="35" spans="1:2" x14ac:dyDescent="0.3">
      <c r="A35">
        <v>157</v>
      </c>
      <c r="B35" s="1">
        <v>40546</v>
      </c>
    </row>
    <row r="36" spans="1:2" x14ac:dyDescent="0.3">
      <c r="A36">
        <v>157</v>
      </c>
      <c r="B36" s="1">
        <v>40571</v>
      </c>
    </row>
    <row r="37" spans="1:2" x14ac:dyDescent="0.3">
      <c r="A37">
        <v>155</v>
      </c>
      <c r="B37" s="1">
        <v>40553</v>
      </c>
    </row>
    <row r="38" spans="1:2" x14ac:dyDescent="0.3">
      <c r="A38">
        <v>154</v>
      </c>
      <c r="B38" s="1">
        <v>40546</v>
      </c>
    </row>
    <row r="39" spans="1:2" x14ac:dyDescent="0.3">
      <c r="A39">
        <v>153</v>
      </c>
      <c r="B39" s="1">
        <v>40567</v>
      </c>
    </row>
    <row r="40" spans="1:2" x14ac:dyDescent="0.3">
      <c r="A40">
        <v>152</v>
      </c>
      <c r="B40" s="1">
        <v>40563</v>
      </c>
    </row>
    <row r="41" spans="1:2" x14ac:dyDescent="0.3">
      <c r="A41">
        <v>146</v>
      </c>
      <c r="B41" s="1">
        <v>40568</v>
      </c>
    </row>
    <row r="42" spans="1:2" x14ac:dyDescent="0.3">
      <c r="A42">
        <v>144</v>
      </c>
      <c r="B42" s="1">
        <v>40556</v>
      </c>
    </row>
    <row r="43" spans="1:2" x14ac:dyDescent="0.3">
      <c r="A43">
        <v>144</v>
      </c>
      <c r="B43" s="1">
        <v>40568</v>
      </c>
    </row>
    <row r="44" spans="1:2" x14ac:dyDescent="0.3">
      <c r="A44">
        <v>143</v>
      </c>
      <c r="B44" s="1">
        <v>40563</v>
      </c>
    </row>
    <row r="45" spans="1:2" x14ac:dyDescent="0.3">
      <c r="A45">
        <v>139</v>
      </c>
      <c r="B45" s="1">
        <v>40555</v>
      </c>
    </row>
    <row r="46" spans="1:2" x14ac:dyDescent="0.3">
      <c r="A46">
        <v>139</v>
      </c>
      <c r="B46" s="1">
        <v>40556</v>
      </c>
    </row>
    <row r="47" spans="1:2" x14ac:dyDescent="0.3">
      <c r="A47">
        <v>139</v>
      </c>
      <c r="B47" s="1">
        <v>40557</v>
      </c>
    </row>
    <row r="48" spans="1:2" x14ac:dyDescent="0.3">
      <c r="A48">
        <v>137</v>
      </c>
      <c r="B48" s="1">
        <v>40555</v>
      </c>
    </row>
    <row r="49" spans="1:2" x14ac:dyDescent="0.3">
      <c r="A49">
        <v>136</v>
      </c>
      <c r="B49" s="1">
        <v>40554</v>
      </c>
    </row>
    <row r="50" spans="1:2" x14ac:dyDescent="0.3">
      <c r="A50">
        <v>134</v>
      </c>
      <c r="B50" s="1">
        <v>40550</v>
      </c>
    </row>
    <row r="51" spans="1:2" x14ac:dyDescent="0.3">
      <c r="A51">
        <v>133</v>
      </c>
      <c r="B51" s="1">
        <v>40561</v>
      </c>
    </row>
    <row r="52" spans="1:2" x14ac:dyDescent="0.3">
      <c r="A52">
        <v>132</v>
      </c>
      <c r="B52" s="1">
        <v>40548</v>
      </c>
    </row>
    <row r="53" spans="1:2" x14ac:dyDescent="0.3">
      <c r="A53">
        <v>130</v>
      </c>
      <c r="B53" s="1">
        <v>40554</v>
      </c>
    </row>
    <row r="54" spans="1:2" x14ac:dyDescent="0.3">
      <c r="A54">
        <v>129</v>
      </c>
      <c r="B54" s="1">
        <v>40558</v>
      </c>
    </row>
    <row r="55" spans="1:2" x14ac:dyDescent="0.3">
      <c r="A55">
        <v>128</v>
      </c>
      <c r="B55" s="1">
        <v>40555</v>
      </c>
    </row>
    <row r="56" spans="1:2" x14ac:dyDescent="0.3">
      <c r="A56">
        <v>128</v>
      </c>
      <c r="B56" s="1">
        <v>40558</v>
      </c>
    </row>
    <row r="57" spans="1:2" x14ac:dyDescent="0.3">
      <c r="A57">
        <v>126</v>
      </c>
      <c r="B57" s="1">
        <v>40563</v>
      </c>
    </row>
    <row r="58" spans="1:2" x14ac:dyDescent="0.3">
      <c r="A58">
        <v>125</v>
      </c>
      <c r="B58" s="1">
        <v>40561</v>
      </c>
    </row>
    <row r="59" spans="1:2" x14ac:dyDescent="0.3">
      <c r="A59">
        <v>123</v>
      </c>
      <c r="B59" s="1">
        <v>40550</v>
      </c>
    </row>
    <row r="60" spans="1:2" x14ac:dyDescent="0.3">
      <c r="A60">
        <v>122</v>
      </c>
      <c r="B60" s="1">
        <v>40549</v>
      </c>
    </row>
    <row r="61" spans="1:2" x14ac:dyDescent="0.3">
      <c r="A61">
        <v>120</v>
      </c>
      <c r="B61" s="1">
        <v>40564</v>
      </c>
    </row>
    <row r="62" spans="1:2" x14ac:dyDescent="0.3">
      <c r="A62">
        <v>119</v>
      </c>
      <c r="B62" s="1">
        <v>40568</v>
      </c>
    </row>
    <row r="63" spans="1:2" x14ac:dyDescent="0.3">
      <c r="A63">
        <v>118</v>
      </c>
      <c r="B63" s="1">
        <v>40558</v>
      </c>
    </row>
    <row r="64" spans="1:2" x14ac:dyDescent="0.3">
      <c r="A64">
        <v>118</v>
      </c>
      <c r="B64" s="1">
        <v>40559</v>
      </c>
    </row>
    <row r="65" spans="1:2" x14ac:dyDescent="0.3">
      <c r="A65">
        <v>117</v>
      </c>
      <c r="B65" s="1">
        <v>40557</v>
      </c>
    </row>
    <row r="66" spans="1:2" x14ac:dyDescent="0.3">
      <c r="A66">
        <v>116</v>
      </c>
      <c r="B66" s="1">
        <v>40566</v>
      </c>
    </row>
    <row r="67" spans="1:2" x14ac:dyDescent="0.3">
      <c r="A67">
        <v>116</v>
      </c>
      <c r="B67" s="1">
        <v>40568</v>
      </c>
    </row>
    <row r="68" spans="1:2" x14ac:dyDescent="0.3">
      <c r="A68">
        <v>115</v>
      </c>
      <c r="B68" s="1">
        <v>40548</v>
      </c>
    </row>
    <row r="69" spans="1:2" x14ac:dyDescent="0.3">
      <c r="A69">
        <v>113</v>
      </c>
      <c r="B69" s="1">
        <v>40559</v>
      </c>
    </row>
    <row r="70" spans="1:2" x14ac:dyDescent="0.3">
      <c r="A70">
        <v>112</v>
      </c>
      <c r="B70" s="1">
        <v>40547</v>
      </c>
    </row>
    <row r="71" spans="1:2" x14ac:dyDescent="0.3">
      <c r="A71">
        <v>112</v>
      </c>
      <c r="B71" s="1">
        <v>40549</v>
      </c>
    </row>
    <row r="72" spans="1:2" x14ac:dyDescent="0.3">
      <c r="A72">
        <v>112</v>
      </c>
      <c r="B72" s="1">
        <v>40562</v>
      </c>
    </row>
    <row r="73" spans="1:2" x14ac:dyDescent="0.3">
      <c r="A73">
        <v>110</v>
      </c>
      <c r="B73" s="1">
        <v>40544</v>
      </c>
    </row>
    <row r="74" spans="1:2" x14ac:dyDescent="0.3">
      <c r="A74">
        <v>110</v>
      </c>
      <c r="B74" s="1">
        <v>40546</v>
      </c>
    </row>
    <row r="75" spans="1:2" x14ac:dyDescent="0.3">
      <c r="A75">
        <v>110</v>
      </c>
      <c r="B75" s="1">
        <v>40566</v>
      </c>
    </row>
    <row r="76" spans="1:2" x14ac:dyDescent="0.3">
      <c r="A76">
        <v>109</v>
      </c>
      <c r="B76" s="1">
        <v>40562</v>
      </c>
    </row>
    <row r="77" spans="1:2" x14ac:dyDescent="0.3">
      <c r="A77">
        <v>108</v>
      </c>
      <c r="B77" s="1">
        <v>40568</v>
      </c>
    </row>
    <row r="78" spans="1:2" x14ac:dyDescent="0.3">
      <c r="A78">
        <v>106</v>
      </c>
      <c r="B78" s="1">
        <v>40544</v>
      </c>
    </row>
    <row r="79" spans="1:2" x14ac:dyDescent="0.3">
      <c r="A79">
        <v>106</v>
      </c>
      <c r="B79" s="1">
        <v>40567</v>
      </c>
    </row>
    <row r="80" spans="1:2" x14ac:dyDescent="0.3">
      <c r="A80">
        <v>106</v>
      </c>
      <c r="B80" s="1">
        <v>40568</v>
      </c>
    </row>
    <row r="81" spans="1:2" x14ac:dyDescent="0.3">
      <c r="A81">
        <v>105</v>
      </c>
      <c r="B81" s="1">
        <v>40559</v>
      </c>
    </row>
    <row r="82" spans="1:2" x14ac:dyDescent="0.3">
      <c r="A82">
        <v>104</v>
      </c>
      <c r="B82" s="1">
        <v>40559</v>
      </c>
    </row>
    <row r="83" spans="1:2" x14ac:dyDescent="0.3">
      <c r="A83">
        <v>104</v>
      </c>
      <c r="B83" s="1">
        <v>40562</v>
      </c>
    </row>
    <row r="84" spans="1:2" x14ac:dyDescent="0.3">
      <c r="A84">
        <v>104</v>
      </c>
      <c r="B84" s="1">
        <v>40570</v>
      </c>
    </row>
    <row r="85" spans="1:2" x14ac:dyDescent="0.3">
      <c r="A85">
        <v>103</v>
      </c>
      <c r="B85" s="1">
        <v>40565</v>
      </c>
    </row>
    <row r="86" spans="1:2" x14ac:dyDescent="0.3">
      <c r="A86">
        <v>102</v>
      </c>
      <c r="B86" s="1">
        <v>40551</v>
      </c>
    </row>
    <row r="87" spans="1:2" x14ac:dyDescent="0.3">
      <c r="A87">
        <v>102</v>
      </c>
      <c r="B87" s="1">
        <v>40567</v>
      </c>
    </row>
    <row r="88" spans="1:2" x14ac:dyDescent="0.3">
      <c r="A88">
        <v>101</v>
      </c>
      <c r="B88" s="1">
        <v>40558</v>
      </c>
    </row>
    <row r="89" spans="1:2" x14ac:dyDescent="0.3">
      <c r="A89">
        <v>101</v>
      </c>
      <c r="B89" s="1">
        <v>40563</v>
      </c>
    </row>
    <row r="90" spans="1:2" x14ac:dyDescent="0.3">
      <c r="A90">
        <v>101</v>
      </c>
      <c r="B90" s="1">
        <v>40571</v>
      </c>
    </row>
    <row r="91" spans="1:2" x14ac:dyDescent="0.3">
      <c r="A91">
        <v>100</v>
      </c>
      <c r="B91" s="1">
        <v>40547</v>
      </c>
    </row>
    <row r="92" spans="1:2" x14ac:dyDescent="0.3">
      <c r="A92">
        <v>99</v>
      </c>
      <c r="B92" s="1">
        <v>40554</v>
      </c>
    </row>
    <row r="93" spans="1:2" x14ac:dyDescent="0.3">
      <c r="A93">
        <v>99</v>
      </c>
      <c r="B93" s="1">
        <v>40556</v>
      </c>
    </row>
    <row r="94" spans="1:2" x14ac:dyDescent="0.3">
      <c r="A94">
        <v>99</v>
      </c>
      <c r="B94" s="1">
        <v>40559</v>
      </c>
    </row>
    <row r="95" spans="1:2" x14ac:dyDescent="0.3">
      <c r="A95">
        <v>99</v>
      </c>
      <c r="B95" s="1">
        <v>40561</v>
      </c>
    </row>
    <row r="96" spans="1:2" x14ac:dyDescent="0.3">
      <c r="A96">
        <v>99</v>
      </c>
      <c r="B96" s="1">
        <v>40566</v>
      </c>
    </row>
    <row r="97" spans="1:2" x14ac:dyDescent="0.3">
      <c r="A97">
        <v>98</v>
      </c>
      <c r="B97" s="1">
        <v>40551</v>
      </c>
    </row>
    <row r="98" spans="1:2" x14ac:dyDescent="0.3">
      <c r="A98">
        <v>98</v>
      </c>
      <c r="B98" s="1">
        <v>40563</v>
      </c>
    </row>
    <row r="99" spans="1:2" x14ac:dyDescent="0.3">
      <c r="A99">
        <v>97</v>
      </c>
      <c r="B99" s="1">
        <v>40547</v>
      </c>
    </row>
    <row r="100" spans="1:2" x14ac:dyDescent="0.3">
      <c r="A100">
        <v>97</v>
      </c>
      <c r="B100" s="1">
        <v>40564</v>
      </c>
    </row>
    <row r="101" spans="1:2" x14ac:dyDescent="0.3">
      <c r="A101">
        <v>96</v>
      </c>
      <c r="B101" s="1">
        <v>40564</v>
      </c>
    </row>
    <row r="102" spans="1:2" x14ac:dyDescent="0.3">
      <c r="A102">
        <v>95</v>
      </c>
      <c r="B102" s="1">
        <v>40549</v>
      </c>
    </row>
    <row r="103" spans="1:2" x14ac:dyDescent="0.3">
      <c r="A103">
        <v>95</v>
      </c>
      <c r="B103" s="1">
        <v>40550</v>
      </c>
    </row>
    <row r="104" spans="1:2" x14ac:dyDescent="0.3">
      <c r="A104">
        <v>95</v>
      </c>
      <c r="B104" s="1">
        <v>40551</v>
      </c>
    </row>
    <row r="105" spans="1:2" x14ac:dyDescent="0.3">
      <c r="A105">
        <v>95</v>
      </c>
      <c r="B105" s="1">
        <v>40553</v>
      </c>
    </row>
    <row r="106" spans="1:2" x14ac:dyDescent="0.3">
      <c r="A106">
        <v>95</v>
      </c>
      <c r="B106" s="1">
        <v>40554</v>
      </c>
    </row>
    <row r="107" spans="1:2" x14ac:dyDescent="0.3">
      <c r="A107">
        <v>94</v>
      </c>
      <c r="B107" s="1">
        <v>40544</v>
      </c>
    </row>
    <row r="108" spans="1:2" x14ac:dyDescent="0.3">
      <c r="A108">
        <v>94</v>
      </c>
      <c r="B108" s="1">
        <v>40547</v>
      </c>
    </row>
    <row r="109" spans="1:2" x14ac:dyDescent="0.3">
      <c r="A109">
        <v>94</v>
      </c>
      <c r="B109" s="1">
        <v>40553</v>
      </c>
    </row>
    <row r="110" spans="1:2" x14ac:dyDescent="0.3">
      <c r="A110">
        <v>93</v>
      </c>
      <c r="B110" s="1">
        <v>40544</v>
      </c>
    </row>
    <row r="111" spans="1:2" x14ac:dyDescent="0.3">
      <c r="A111">
        <v>93</v>
      </c>
      <c r="B111" s="1">
        <v>40545</v>
      </c>
    </row>
    <row r="112" spans="1:2" x14ac:dyDescent="0.3">
      <c r="A112">
        <v>93</v>
      </c>
      <c r="B112" s="1">
        <v>40559</v>
      </c>
    </row>
    <row r="113" spans="1:2" x14ac:dyDescent="0.3">
      <c r="A113">
        <v>93</v>
      </c>
      <c r="B113" s="1">
        <v>40560</v>
      </c>
    </row>
    <row r="114" spans="1:2" x14ac:dyDescent="0.3">
      <c r="A114">
        <v>93</v>
      </c>
      <c r="B114" s="1">
        <v>40560</v>
      </c>
    </row>
    <row r="115" spans="1:2" x14ac:dyDescent="0.3">
      <c r="A115">
        <v>93</v>
      </c>
      <c r="B115" s="1">
        <v>40568</v>
      </c>
    </row>
    <row r="116" spans="1:2" x14ac:dyDescent="0.3">
      <c r="A116">
        <v>92</v>
      </c>
      <c r="B116" s="1">
        <v>40552</v>
      </c>
    </row>
    <row r="117" spans="1:2" x14ac:dyDescent="0.3">
      <c r="A117">
        <v>92</v>
      </c>
      <c r="B117" s="1">
        <v>40557</v>
      </c>
    </row>
    <row r="118" spans="1:2" x14ac:dyDescent="0.3">
      <c r="A118">
        <v>92</v>
      </c>
      <c r="B118" s="1">
        <v>40560</v>
      </c>
    </row>
    <row r="119" spans="1:2" x14ac:dyDescent="0.3">
      <c r="A119">
        <v>91</v>
      </c>
      <c r="B119" s="1">
        <v>40559</v>
      </c>
    </row>
    <row r="120" spans="1:2" x14ac:dyDescent="0.3">
      <c r="A120">
        <v>91</v>
      </c>
      <c r="B120" s="1">
        <v>40563</v>
      </c>
    </row>
    <row r="121" spans="1:2" x14ac:dyDescent="0.3">
      <c r="A121">
        <v>90</v>
      </c>
      <c r="B121" s="1">
        <v>40557</v>
      </c>
    </row>
    <row r="122" spans="1:2" x14ac:dyDescent="0.3">
      <c r="A122">
        <v>90</v>
      </c>
      <c r="B122" s="1">
        <v>40562</v>
      </c>
    </row>
    <row r="123" spans="1:2" x14ac:dyDescent="0.3">
      <c r="A123">
        <v>89</v>
      </c>
      <c r="B123" s="1">
        <v>40548</v>
      </c>
    </row>
    <row r="124" spans="1:2" x14ac:dyDescent="0.3">
      <c r="A124">
        <v>89</v>
      </c>
      <c r="B124" s="1">
        <v>40548</v>
      </c>
    </row>
    <row r="125" spans="1:2" x14ac:dyDescent="0.3">
      <c r="A125">
        <v>89</v>
      </c>
      <c r="B125" s="1">
        <v>40558</v>
      </c>
    </row>
    <row r="126" spans="1:2" x14ac:dyDescent="0.3">
      <c r="A126">
        <v>88</v>
      </c>
      <c r="B126" s="1">
        <v>40546</v>
      </c>
    </row>
    <row r="127" spans="1:2" x14ac:dyDescent="0.3">
      <c r="A127">
        <v>88</v>
      </c>
      <c r="B127" s="1">
        <v>40548</v>
      </c>
    </row>
    <row r="128" spans="1:2" x14ac:dyDescent="0.3">
      <c r="A128">
        <v>87</v>
      </c>
      <c r="B128" s="1">
        <v>40550</v>
      </c>
    </row>
    <row r="129" spans="1:2" x14ac:dyDescent="0.3">
      <c r="A129">
        <v>87</v>
      </c>
      <c r="B129" s="1">
        <v>40566</v>
      </c>
    </row>
    <row r="130" spans="1:2" x14ac:dyDescent="0.3">
      <c r="A130">
        <v>86</v>
      </c>
      <c r="B130" s="1">
        <v>40549</v>
      </c>
    </row>
    <row r="131" spans="1:2" x14ac:dyDescent="0.3">
      <c r="A131">
        <v>86</v>
      </c>
      <c r="B131" s="1">
        <v>40560</v>
      </c>
    </row>
    <row r="132" spans="1:2" x14ac:dyDescent="0.3">
      <c r="A132">
        <v>84</v>
      </c>
      <c r="B132" s="1">
        <v>40544</v>
      </c>
    </row>
    <row r="133" spans="1:2" x14ac:dyDescent="0.3">
      <c r="A133">
        <v>84</v>
      </c>
      <c r="B133" s="1">
        <v>40549</v>
      </c>
    </row>
    <row r="134" spans="1:2" x14ac:dyDescent="0.3">
      <c r="A134">
        <v>84</v>
      </c>
      <c r="B134" s="1">
        <v>40550</v>
      </c>
    </row>
    <row r="135" spans="1:2" x14ac:dyDescent="0.3">
      <c r="A135">
        <v>84</v>
      </c>
      <c r="B135" s="1">
        <v>40558</v>
      </c>
    </row>
    <row r="136" spans="1:2" x14ac:dyDescent="0.3">
      <c r="A136">
        <v>84</v>
      </c>
      <c r="B136" s="1">
        <v>40563</v>
      </c>
    </row>
    <row r="137" spans="1:2" x14ac:dyDescent="0.3">
      <c r="A137">
        <v>84</v>
      </c>
      <c r="B137" s="1">
        <v>40565</v>
      </c>
    </row>
    <row r="138" spans="1:2" x14ac:dyDescent="0.3">
      <c r="A138">
        <v>84</v>
      </c>
      <c r="B138" s="1">
        <v>40567</v>
      </c>
    </row>
    <row r="139" spans="1:2" x14ac:dyDescent="0.3">
      <c r="A139">
        <v>84</v>
      </c>
      <c r="B139" s="1">
        <v>40568</v>
      </c>
    </row>
    <row r="140" spans="1:2" x14ac:dyDescent="0.3">
      <c r="A140">
        <v>84</v>
      </c>
      <c r="B140" s="1">
        <v>40570</v>
      </c>
    </row>
    <row r="141" spans="1:2" x14ac:dyDescent="0.3">
      <c r="A141">
        <v>83</v>
      </c>
      <c r="B141" s="1">
        <v>40547</v>
      </c>
    </row>
    <row r="142" spans="1:2" x14ac:dyDescent="0.3">
      <c r="A142">
        <v>83</v>
      </c>
      <c r="B142" s="1">
        <v>40552</v>
      </c>
    </row>
    <row r="143" spans="1:2" x14ac:dyDescent="0.3">
      <c r="A143">
        <v>83</v>
      </c>
      <c r="B143" s="1">
        <v>40555</v>
      </c>
    </row>
    <row r="144" spans="1:2" x14ac:dyDescent="0.3">
      <c r="A144">
        <v>83</v>
      </c>
      <c r="B144" s="1">
        <v>40556</v>
      </c>
    </row>
    <row r="145" spans="1:2" x14ac:dyDescent="0.3">
      <c r="A145">
        <v>83</v>
      </c>
      <c r="B145" s="1">
        <v>40558</v>
      </c>
    </row>
    <row r="146" spans="1:2" x14ac:dyDescent="0.3">
      <c r="A146">
        <v>83</v>
      </c>
      <c r="B146" s="1">
        <v>40561</v>
      </c>
    </row>
    <row r="147" spans="1:2" x14ac:dyDescent="0.3">
      <c r="A147">
        <v>83</v>
      </c>
      <c r="B147" s="1">
        <v>40565</v>
      </c>
    </row>
    <row r="148" spans="1:2" x14ac:dyDescent="0.3">
      <c r="A148">
        <v>82</v>
      </c>
      <c r="B148" s="1">
        <v>40552</v>
      </c>
    </row>
    <row r="149" spans="1:2" x14ac:dyDescent="0.3">
      <c r="A149">
        <v>82</v>
      </c>
      <c r="B149" s="1">
        <v>40560</v>
      </c>
    </row>
    <row r="150" spans="1:2" x14ac:dyDescent="0.3">
      <c r="A150">
        <v>82</v>
      </c>
      <c r="B150" s="1">
        <v>40562</v>
      </c>
    </row>
    <row r="151" spans="1:2" x14ac:dyDescent="0.3">
      <c r="A151">
        <v>81</v>
      </c>
      <c r="B151" s="1">
        <v>40555</v>
      </c>
    </row>
    <row r="152" spans="1:2" x14ac:dyDescent="0.3">
      <c r="A152">
        <v>81</v>
      </c>
      <c r="B152" s="1">
        <v>40563</v>
      </c>
    </row>
    <row r="153" spans="1:2" x14ac:dyDescent="0.3">
      <c r="A153">
        <v>81</v>
      </c>
      <c r="B153" s="1">
        <v>40567</v>
      </c>
    </row>
    <row r="154" spans="1:2" x14ac:dyDescent="0.3">
      <c r="A154">
        <v>80</v>
      </c>
      <c r="B154" s="1">
        <v>40560</v>
      </c>
    </row>
    <row r="155" spans="1:2" x14ac:dyDescent="0.3">
      <c r="A155">
        <v>79</v>
      </c>
      <c r="B155" s="1">
        <v>40548</v>
      </c>
    </row>
    <row r="156" spans="1:2" x14ac:dyDescent="0.3">
      <c r="A156">
        <v>79</v>
      </c>
      <c r="B156" s="1">
        <v>40559</v>
      </c>
    </row>
    <row r="157" spans="1:2" x14ac:dyDescent="0.3">
      <c r="A157">
        <v>79</v>
      </c>
      <c r="B157" s="1">
        <v>40570</v>
      </c>
    </row>
    <row r="158" spans="1:2" x14ac:dyDescent="0.3">
      <c r="A158">
        <v>78</v>
      </c>
      <c r="B158" s="1">
        <v>40547</v>
      </c>
    </row>
    <row r="159" spans="1:2" x14ac:dyDescent="0.3">
      <c r="A159">
        <v>78</v>
      </c>
      <c r="B159" s="1">
        <v>40556</v>
      </c>
    </row>
    <row r="160" spans="1:2" x14ac:dyDescent="0.3">
      <c r="A160">
        <v>78</v>
      </c>
      <c r="B160" s="1">
        <v>40562</v>
      </c>
    </row>
    <row r="161" spans="1:2" x14ac:dyDescent="0.3">
      <c r="A161">
        <v>78</v>
      </c>
      <c r="B161" s="1">
        <v>40564</v>
      </c>
    </row>
    <row r="162" spans="1:2" x14ac:dyDescent="0.3">
      <c r="A162">
        <v>77</v>
      </c>
      <c r="B162" s="1">
        <v>40546</v>
      </c>
    </row>
    <row r="163" spans="1:2" x14ac:dyDescent="0.3">
      <c r="A163">
        <v>77</v>
      </c>
      <c r="B163" s="1">
        <v>40553</v>
      </c>
    </row>
    <row r="164" spans="1:2" x14ac:dyDescent="0.3">
      <c r="A164">
        <v>77</v>
      </c>
      <c r="B164" s="1">
        <v>40557</v>
      </c>
    </row>
    <row r="165" spans="1:2" x14ac:dyDescent="0.3">
      <c r="A165">
        <v>77</v>
      </c>
      <c r="B165" s="1">
        <v>40566</v>
      </c>
    </row>
    <row r="166" spans="1:2" x14ac:dyDescent="0.3">
      <c r="A166">
        <v>76</v>
      </c>
      <c r="B166" s="1">
        <v>40545</v>
      </c>
    </row>
    <row r="167" spans="1:2" x14ac:dyDescent="0.3">
      <c r="A167">
        <v>76</v>
      </c>
      <c r="B167" s="1">
        <v>40546</v>
      </c>
    </row>
    <row r="168" spans="1:2" x14ac:dyDescent="0.3">
      <c r="A168">
        <v>76</v>
      </c>
      <c r="B168" s="1">
        <v>40551</v>
      </c>
    </row>
    <row r="169" spans="1:2" x14ac:dyDescent="0.3">
      <c r="A169">
        <v>76</v>
      </c>
      <c r="B169" s="1">
        <v>40554</v>
      </c>
    </row>
    <row r="170" spans="1:2" x14ac:dyDescent="0.3">
      <c r="A170">
        <v>76</v>
      </c>
      <c r="B170" s="1">
        <v>40562</v>
      </c>
    </row>
    <row r="171" spans="1:2" x14ac:dyDescent="0.3">
      <c r="A171">
        <v>75</v>
      </c>
      <c r="B171" s="1">
        <v>40545</v>
      </c>
    </row>
    <row r="172" spans="1:2" x14ac:dyDescent="0.3">
      <c r="A172">
        <v>75</v>
      </c>
      <c r="B172" s="1">
        <v>40552</v>
      </c>
    </row>
    <row r="173" spans="1:2" x14ac:dyDescent="0.3">
      <c r="A173">
        <v>75</v>
      </c>
      <c r="B173" s="1">
        <v>40562</v>
      </c>
    </row>
    <row r="174" spans="1:2" x14ac:dyDescent="0.3">
      <c r="A174">
        <v>75</v>
      </c>
      <c r="B174" s="1">
        <v>40565</v>
      </c>
    </row>
    <row r="175" spans="1:2" x14ac:dyDescent="0.3">
      <c r="A175">
        <v>74</v>
      </c>
      <c r="B175" s="1">
        <v>40545</v>
      </c>
    </row>
    <row r="176" spans="1:2" x14ac:dyDescent="0.3">
      <c r="A176">
        <v>74</v>
      </c>
      <c r="B176" s="1">
        <v>40551</v>
      </c>
    </row>
    <row r="177" spans="1:2" x14ac:dyDescent="0.3">
      <c r="A177">
        <v>74</v>
      </c>
      <c r="B177" s="1">
        <v>40553</v>
      </c>
    </row>
    <row r="178" spans="1:2" x14ac:dyDescent="0.3">
      <c r="A178">
        <v>74</v>
      </c>
      <c r="B178" s="1">
        <v>40553</v>
      </c>
    </row>
    <row r="179" spans="1:2" x14ac:dyDescent="0.3">
      <c r="A179">
        <v>74</v>
      </c>
      <c r="B179" s="1">
        <v>40558</v>
      </c>
    </row>
    <row r="180" spans="1:2" x14ac:dyDescent="0.3">
      <c r="A180">
        <v>73</v>
      </c>
      <c r="B180" s="1">
        <v>40550</v>
      </c>
    </row>
    <row r="181" spans="1:2" x14ac:dyDescent="0.3">
      <c r="A181">
        <v>73</v>
      </c>
      <c r="B181" s="1">
        <v>40564</v>
      </c>
    </row>
    <row r="182" spans="1:2" x14ac:dyDescent="0.3">
      <c r="A182">
        <v>72</v>
      </c>
      <c r="B182" s="1">
        <v>40546</v>
      </c>
    </row>
    <row r="183" spans="1:2" x14ac:dyDescent="0.3">
      <c r="A183">
        <v>72</v>
      </c>
      <c r="B183" s="1">
        <v>40550</v>
      </c>
    </row>
    <row r="184" spans="1:2" x14ac:dyDescent="0.3">
      <c r="A184">
        <v>72</v>
      </c>
      <c r="B184" s="1">
        <v>40552</v>
      </c>
    </row>
    <row r="185" spans="1:2" x14ac:dyDescent="0.3">
      <c r="A185">
        <v>72</v>
      </c>
      <c r="B185" s="1">
        <v>40556</v>
      </c>
    </row>
    <row r="186" spans="1:2" x14ac:dyDescent="0.3">
      <c r="A186">
        <v>72</v>
      </c>
      <c r="B186" s="1">
        <v>40558</v>
      </c>
    </row>
    <row r="187" spans="1:2" x14ac:dyDescent="0.3">
      <c r="A187">
        <v>72</v>
      </c>
      <c r="B187" s="1">
        <v>40569</v>
      </c>
    </row>
    <row r="188" spans="1:2" x14ac:dyDescent="0.3">
      <c r="A188">
        <v>71</v>
      </c>
      <c r="B188" s="1">
        <v>40548</v>
      </c>
    </row>
    <row r="189" spans="1:2" x14ac:dyDescent="0.3">
      <c r="A189">
        <v>71</v>
      </c>
      <c r="B189" s="1">
        <v>40560</v>
      </c>
    </row>
    <row r="190" spans="1:2" x14ac:dyDescent="0.3">
      <c r="A190">
        <v>70</v>
      </c>
      <c r="B190" s="1">
        <v>40545</v>
      </c>
    </row>
    <row r="191" spans="1:2" x14ac:dyDescent="0.3">
      <c r="A191">
        <v>70</v>
      </c>
      <c r="B191" s="1">
        <v>40549</v>
      </c>
    </row>
    <row r="192" spans="1:2" x14ac:dyDescent="0.3">
      <c r="A192">
        <v>70</v>
      </c>
      <c r="B192" s="1">
        <v>40557</v>
      </c>
    </row>
    <row r="193" spans="1:2" x14ac:dyDescent="0.3">
      <c r="A193">
        <v>70</v>
      </c>
      <c r="B193" s="1">
        <v>40562</v>
      </c>
    </row>
    <row r="194" spans="1:2" x14ac:dyDescent="0.3">
      <c r="A194">
        <v>70</v>
      </c>
      <c r="B194" s="1">
        <v>40563</v>
      </c>
    </row>
    <row r="195" spans="1:2" x14ac:dyDescent="0.3">
      <c r="A195">
        <v>70</v>
      </c>
      <c r="B195" s="1">
        <v>40565</v>
      </c>
    </row>
    <row r="196" spans="1:2" x14ac:dyDescent="0.3">
      <c r="A196">
        <v>70</v>
      </c>
      <c r="B196" s="1">
        <v>40567</v>
      </c>
    </row>
    <row r="197" spans="1:2" x14ac:dyDescent="0.3">
      <c r="A197">
        <v>69</v>
      </c>
      <c r="B197" s="1">
        <v>40549</v>
      </c>
    </row>
    <row r="198" spans="1:2" x14ac:dyDescent="0.3">
      <c r="A198">
        <v>69</v>
      </c>
      <c r="B198" s="1">
        <v>40551</v>
      </c>
    </row>
    <row r="199" spans="1:2" x14ac:dyDescent="0.3">
      <c r="A199">
        <v>68</v>
      </c>
      <c r="B199" s="1">
        <v>40555</v>
      </c>
    </row>
    <row r="200" spans="1:2" x14ac:dyDescent="0.3">
      <c r="A200">
        <v>68</v>
      </c>
      <c r="B200" s="1">
        <v>40557</v>
      </c>
    </row>
    <row r="201" spans="1:2" x14ac:dyDescent="0.3">
      <c r="A201">
        <v>68</v>
      </c>
      <c r="B201" s="1">
        <v>40557</v>
      </c>
    </row>
    <row r="202" spans="1:2" x14ac:dyDescent="0.3">
      <c r="A202">
        <v>68</v>
      </c>
      <c r="B202" s="1">
        <v>40563</v>
      </c>
    </row>
    <row r="203" spans="1:2" x14ac:dyDescent="0.3">
      <c r="A203">
        <v>68</v>
      </c>
      <c r="B203" s="1">
        <v>40564</v>
      </c>
    </row>
    <row r="204" spans="1:2" x14ac:dyDescent="0.3">
      <c r="A204">
        <v>68</v>
      </c>
      <c r="B204" s="1">
        <v>40568</v>
      </c>
    </row>
    <row r="205" spans="1:2" x14ac:dyDescent="0.3">
      <c r="A205">
        <v>67</v>
      </c>
      <c r="B205" s="1">
        <v>40544</v>
      </c>
    </row>
    <row r="206" spans="1:2" x14ac:dyDescent="0.3">
      <c r="A206">
        <v>67</v>
      </c>
      <c r="B206" s="1">
        <v>40549</v>
      </c>
    </row>
    <row r="207" spans="1:2" x14ac:dyDescent="0.3">
      <c r="A207">
        <v>67</v>
      </c>
      <c r="B207" s="1">
        <v>40550</v>
      </c>
    </row>
    <row r="208" spans="1:2" x14ac:dyDescent="0.3">
      <c r="A208">
        <v>67</v>
      </c>
      <c r="B208" s="1">
        <v>40559</v>
      </c>
    </row>
    <row r="209" spans="1:2" x14ac:dyDescent="0.3">
      <c r="A209">
        <v>67</v>
      </c>
      <c r="B209" s="1">
        <v>40565</v>
      </c>
    </row>
    <row r="210" spans="1:2" x14ac:dyDescent="0.3">
      <c r="A210">
        <v>65</v>
      </c>
      <c r="B210" s="1">
        <v>40545</v>
      </c>
    </row>
    <row r="211" spans="1:2" x14ac:dyDescent="0.3">
      <c r="A211">
        <v>65</v>
      </c>
      <c r="B211" s="1">
        <v>40547</v>
      </c>
    </row>
    <row r="212" spans="1:2" x14ac:dyDescent="0.3">
      <c r="A212">
        <v>65</v>
      </c>
      <c r="B212" s="1">
        <v>40564</v>
      </c>
    </row>
    <row r="213" spans="1:2" x14ac:dyDescent="0.3">
      <c r="A213">
        <v>65</v>
      </c>
      <c r="B213" s="1">
        <v>40566</v>
      </c>
    </row>
    <row r="214" spans="1:2" x14ac:dyDescent="0.3">
      <c r="A214">
        <v>64</v>
      </c>
      <c r="B214" s="1">
        <v>40546</v>
      </c>
    </row>
    <row r="215" spans="1:2" x14ac:dyDescent="0.3">
      <c r="A215">
        <v>64</v>
      </c>
      <c r="B215" s="1">
        <v>40556</v>
      </c>
    </row>
    <row r="216" spans="1:2" x14ac:dyDescent="0.3">
      <c r="A216">
        <v>64</v>
      </c>
      <c r="B216" s="1">
        <v>40557</v>
      </c>
    </row>
    <row r="217" spans="1:2" x14ac:dyDescent="0.3">
      <c r="A217">
        <v>64</v>
      </c>
      <c r="B217" s="1">
        <v>40560</v>
      </c>
    </row>
    <row r="218" spans="1:2" x14ac:dyDescent="0.3">
      <c r="A218">
        <v>63</v>
      </c>
      <c r="B218" s="1">
        <v>40547</v>
      </c>
    </row>
    <row r="219" spans="1:2" x14ac:dyDescent="0.3">
      <c r="A219">
        <v>63</v>
      </c>
      <c r="B219" s="1">
        <v>40550</v>
      </c>
    </row>
    <row r="220" spans="1:2" x14ac:dyDescent="0.3">
      <c r="A220">
        <v>63</v>
      </c>
      <c r="B220" s="1">
        <v>40554</v>
      </c>
    </row>
    <row r="221" spans="1:2" x14ac:dyDescent="0.3">
      <c r="A221">
        <v>63</v>
      </c>
      <c r="B221" s="1">
        <v>40564</v>
      </c>
    </row>
    <row r="222" spans="1:2" x14ac:dyDescent="0.3">
      <c r="A222">
        <v>63</v>
      </c>
      <c r="B222" s="1">
        <v>40565</v>
      </c>
    </row>
    <row r="223" spans="1:2" x14ac:dyDescent="0.3">
      <c r="A223">
        <v>63</v>
      </c>
      <c r="B223" s="1">
        <v>40567</v>
      </c>
    </row>
    <row r="224" spans="1:2" x14ac:dyDescent="0.3">
      <c r="A224">
        <v>62</v>
      </c>
      <c r="B224" s="1">
        <v>40548</v>
      </c>
    </row>
    <row r="225" spans="1:2" x14ac:dyDescent="0.3">
      <c r="A225">
        <v>62</v>
      </c>
      <c r="B225" s="1">
        <v>40548</v>
      </c>
    </row>
    <row r="226" spans="1:2" x14ac:dyDescent="0.3">
      <c r="A226">
        <v>62</v>
      </c>
      <c r="B226" s="1">
        <v>40549</v>
      </c>
    </row>
    <row r="227" spans="1:2" x14ac:dyDescent="0.3">
      <c r="A227">
        <v>62</v>
      </c>
      <c r="B227" s="1">
        <v>40551</v>
      </c>
    </row>
    <row r="228" spans="1:2" x14ac:dyDescent="0.3">
      <c r="A228">
        <v>62</v>
      </c>
      <c r="B228" s="1">
        <v>40552</v>
      </c>
    </row>
    <row r="229" spans="1:2" x14ac:dyDescent="0.3">
      <c r="A229">
        <v>62</v>
      </c>
      <c r="B229" s="1">
        <v>40564</v>
      </c>
    </row>
    <row r="230" spans="1:2" x14ac:dyDescent="0.3">
      <c r="A230">
        <v>61</v>
      </c>
      <c r="B230" s="1">
        <v>40546</v>
      </c>
    </row>
    <row r="231" spans="1:2" x14ac:dyDescent="0.3">
      <c r="A231">
        <v>61</v>
      </c>
      <c r="B231" s="1">
        <v>40546</v>
      </c>
    </row>
    <row r="232" spans="1:2" x14ac:dyDescent="0.3">
      <c r="A232">
        <v>61</v>
      </c>
      <c r="B232" s="1">
        <v>40551</v>
      </c>
    </row>
    <row r="233" spans="1:2" x14ac:dyDescent="0.3">
      <c r="A233">
        <v>61</v>
      </c>
      <c r="B233" s="1">
        <v>40557</v>
      </c>
    </row>
    <row r="234" spans="1:2" x14ac:dyDescent="0.3">
      <c r="A234">
        <v>61</v>
      </c>
      <c r="B234" s="1">
        <v>40559</v>
      </c>
    </row>
    <row r="235" spans="1:2" x14ac:dyDescent="0.3">
      <c r="A235">
        <v>61</v>
      </c>
      <c r="B235" s="1">
        <v>40561</v>
      </c>
    </row>
    <row r="236" spans="1:2" x14ac:dyDescent="0.3">
      <c r="A236">
        <v>61</v>
      </c>
      <c r="B236" s="1">
        <v>40568</v>
      </c>
    </row>
    <row r="237" spans="1:2" x14ac:dyDescent="0.3">
      <c r="A237">
        <v>60</v>
      </c>
      <c r="B237" s="1">
        <v>40556</v>
      </c>
    </row>
    <row r="238" spans="1:2" x14ac:dyDescent="0.3">
      <c r="A238">
        <v>60</v>
      </c>
      <c r="B238" s="1">
        <v>40560</v>
      </c>
    </row>
    <row r="239" spans="1:2" x14ac:dyDescent="0.3">
      <c r="A239">
        <v>60</v>
      </c>
      <c r="B239" s="1">
        <v>40567</v>
      </c>
    </row>
    <row r="240" spans="1:2" x14ac:dyDescent="0.3">
      <c r="A240">
        <v>60</v>
      </c>
      <c r="B240" s="1">
        <v>40571</v>
      </c>
    </row>
    <row r="241" spans="1:2" x14ac:dyDescent="0.3">
      <c r="A241">
        <v>59</v>
      </c>
      <c r="B241" s="1">
        <v>40545</v>
      </c>
    </row>
    <row r="242" spans="1:2" x14ac:dyDescent="0.3">
      <c r="A242">
        <v>59</v>
      </c>
      <c r="B242" s="1">
        <v>40549</v>
      </c>
    </row>
    <row r="243" spans="1:2" x14ac:dyDescent="0.3">
      <c r="A243">
        <v>59</v>
      </c>
      <c r="B243" s="1">
        <v>40550</v>
      </c>
    </row>
    <row r="244" spans="1:2" x14ac:dyDescent="0.3">
      <c r="A244">
        <v>59</v>
      </c>
      <c r="B244" s="1">
        <v>40558</v>
      </c>
    </row>
    <row r="245" spans="1:2" x14ac:dyDescent="0.3">
      <c r="A245">
        <v>59</v>
      </c>
      <c r="B245" s="1">
        <v>40562</v>
      </c>
    </row>
    <row r="246" spans="1:2" x14ac:dyDescent="0.3">
      <c r="A246">
        <v>59</v>
      </c>
      <c r="B246" s="1">
        <v>40562</v>
      </c>
    </row>
    <row r="247" spans="1:2" x14ac:dyDescent="0.3">
      <c r="A247">
        <v>59</v>
      </c>
      <c r="B247" s="1">
        <v>40564</v>
      </c>
    </row>
    <row r="248" spans="1:2" x14ac:dyDescent="0.3">
      <c r="A248">
        <v>59</v>
      </c>
      <c r="B248" s="1">
        <v>40565</v>
      </c>
    </row>
    <row r="249" spans="1:2" x14ac:dyDescent="0.3">
      <c r="A249">
        <v>59</v>
      </c>
      <c r="B249" s="1">
        <v>40567</v>
      </c>
    </row>
    <row r="250" spans="1:2" x14ac:dyDescent="0.3">
      <c r="A250">
        <v>59</v>
      </c>
      <c r="B250" s="1">
        <v>40570</v>
      </c>
    </row>
    <row r="251" spans="1:2" x14ac:dyDescent="0.3">
      <c r="A251">
        <v>58</v>
      </c>
      <c r="B251" s="1">
        <v>40566</v>
      </c>
    </row>
    <row r="252" spans="1:2" x14ac:dyDescent="0.3">
      <c r="A252">
        <v>58</v>
      </c>
      <c r="B252" s="1">
        <v>40569</v>
      </c>
    </row>
    <row r="253" spans="1:2" x14ac:dyDescent="0.3">
      <c r="A253">
        <v>57</v>
      </c>
      <c r="B253" s="1">
        <v>40547</v>
      </c>
    </row>
    <row r="254" spans="1:2" x14ac:dyDescent="0.3">
      <c r="A254">
        <v>57</v>
      </c>
      <c r="B254" s="1">
        <v>40548</v>
      </c>
    </row>
    <row r="255" spans="1:2" x14ac:dyDescent="0.3">
      <c r="A255">
        <v>57</v>
      </c>
      <c r="B255" s="1">
        <v>40554</v>
      </c>
    </row>
    <row r="256" spans="1:2" x14ac:dyDescent="0.3">
      <c r="A256">
        <v>57</v>
      </c>
      <c r="B256" s="1">
        <v>40555</v>
      </c>
    </row>
    <row r="257" spans="1:2" x14ac:dyDescent="0.3">
      <c r="A257">
        <v>57</v>
      </c>
      <c r="B257" s="1">
        <v>40558</v>
      </c>
    </row>
    <row r="258" spans="1:2" x14ac:dyDescent="0.3">
      <c r="A258">
        <v>57</v>
      </c>
      <c r="B258" s="1">
        <v>40559</v>
      </c>
    </row>
    <row r="259" spans="1:2" x14ac:dyDescent="0.3">
      <c r="A259">
        <v>57</v>
      </c>
      <c r="B259" s="1">
        <v>40560</v>
      </c>
    </row>
    <row r="260" spans="1:2" x14ac:dyDescent="0.3">
      <c r="A260">
        <v>57</v>
      </c>
      <c r="B260" s="1">
        <v>40563</v>
      </c>
    </row>
    <row r="261" spans="1:2" x14ac:dyDescent="0.3">
      <c r="A261">
        <v>57</v>
      </c>
      <c r="B261" s="1">
        <v>40563</v>
      </c>
    </row>
    <row r="262" spans="1:2" x14ac:dyDescent="0.3">
      <c r="A262">
        <v>57</v>
      </c>
      <c r="B262" s="1">
        <v>40567</v>
      </c>
    </row>
    <row r="263" spans="1:2" x14ac:dyDescent="0.3">
      <c r="A263">
        <v>56</v>
      </c>
      <c r="B263" s="1">
        <v>40544</v>
      </c>
    </row>
    <row r="264" spans="1:2" x14ac:dyDescent="0.3">
      <c r="A264">
        <v>56</v>
      </c>
      <c r="B264" s="1">
        <v>40555</v>
      </c>
    </row>
    <row r="265" spans="1:2" x14ac:dyDescent="0.3">
      <c r="A265">
        <v>56</v>
      </c>
      <c r="B265" s="1">
        <v>40563</v>
      </c>
    </row>
    <row r="266" spans="1:2" x14ac:dyDescent="0.3">
      <c r="A266">
        <v>55</v>
      </c>
      <c r="B266" s="1">
        <v>40551</v>
      </c>
    </row>
    <row r="267" spans="1:2" x14ac:dyDescent="0.3">
      <c r="A267">
        <v>55</v>
      </c>
      <c r="B267" s="1">
        <v>40555</v>
      </c>
    </row>
    <row r="268" spans="1:2" x14ac:dyDescent="0.3">
      <c r="A268">
        <v>55</v>
      </c>
      <c r="B268" s="1">
        <v>40566</v>
      </c>
    </row>
    <row r="269" spans="1:2" x14ac:dyDescent="0.3">
      <c r="A269">
        <v>55</v>
      </c>
      <c r="B269" s="1">
        <v>40568</v>
      </c>
    </row>
    <row r="270" spans="1:2" x14ac:dyDescent="0.3">
      <c r="A270">
        <v>54</v>
      </c>
      <c r="B270" s="1">
        <v>40547</v>
      </c>
    </row>
    <row r="271" spans="1:2" x14ac:dyDescent="0.3">
      <c r="A271">
        <v>54</v>
      </c>
      <c r="B271" s="1">
        <v>40553</v>
      </c>
    </row>
    <row r="272" spans="1:2" x14ac:dyDescent="0.3">
      <c r="A272">
        <v>54</v>
      </c>
      <c r="B272" s="1">
        <v>40554</v>
      </c>
    </row>
    <row r="273" spans="1:2" x14ac:dyDescent="0.3">
      <c r="A273">
        <v>54</v>
      </c>
      <c r="B273" s="1">
        <v>40555</v>
      </c>
    </row>
    <row r="274" spans="1:2" x14ac:dyDescent="0.3">
      <c r="A274">
        <v>54</v>
      </c>
      <c r="B274" s="1">
        <v>40565</v>
      </c>
    </row>
    <row r="275" spans="1:2" x14ac:dyDescent="0.3">
      <c r="A275">
        <v>53</v>
      </c>
      <c r="B275" s="1">
        <v>40545</v>
      </c>
    </row>
    <row r="276" spans="1:2" x14ac:dyDescent="0.3">
      <c r="A276">
        <v>53</v>
      </c>
      <c r="B276" s="1">
        <v>40545</v>
      </c>
    </row>
    <row r="277" spans="1:2" x14ac:dyDescent="0.3">
      <c r="A277">
        <v>53</v>
      </c>
      <c r="B277" s="1">
        <v>40557</v>
      </c>
    </row>
    <row r="278" spans="1:2" x14ac:dyDescent="0.3">
      <c r="A278">
        <v>53</v>
      </c>
      <c r="B278" s="1">
        <v>40564</v>
      </c>
    </row>
    <row r="279" spans="1:2" x14ac:dyDescent="0.3">
      <c r="A279">
        <v>53</v>
      </c>
      <c r="B279" s="1">
        <v>40565</v>
      </c>
    </row>
    <row r="280" spans="1:2" x14ac:dyDescent="0.3">
      <c r="A280">
        <v>53</v>
      </c>
      <c r="B280" s="1">
        <v>40568</v>
      </c>
    </row>
    <row r="281" spans="1:2" x14ac:dyDescent="0.3">
      <c r="A281">
        <v>52</v>
      </c>
      <c r="B281" s="1">
        <v>40546</v>
      </c>
    </row>
    <row r="282" spans="1:2" x14ac:dyDescent="0.3">
      <c r="A282">
        <v>52</v>
      </c>
      <c r="B282" s="1">
        <v>40546</v>
      </c>
    </row>
    <row r="283" spans="1:2" x14ac:dyDescent="0.3">
      <c r="A283">
        <v>52</v>
      </c>
      <c r="B283" s="1">
        <v>40549</v>
      </c>
    </row>
    <row r="284" spans="1:2" x14ac:dyDescent="0.3">
      <c r="A284">
        <v>52</v>
      </c>
      <c r="B284" s="1">
        <v>40553</v>
      </c>
    </row>
    <row r="285" spans="1:2" x14ac:dyDescent="0.3">
      <c r="A285">
        <v>52</v>
      </c>
      <c r="B285" s="1">
        <v>40554</v>
      </c>
    </row>
    <row r="286" spans="1:2" x14ac:dyDescent="0.3">
      <c r="A286">
        <v>52</v>
      </c>
      <c r="B286" s="1">
        <v>40556</v>
      </c>
    </row>
    <row r="287" spans="1:2" x14ac:dyDescent="0.3">
      <c r="A287">
        <v>52</v>
      </c>
      <c r="B287" s="1">
        <v>40557</v>
      </c>
    </row>
    <row r="288" spans="1:2" x14ac:dyDescent="0.3">
      <c r="A288">
        <v>52</v>
      </c>
      <c r="B288" s="1">
        <v>40562</v>
      </c>
    </row>
    <row r="289" spans="1:2" x14ac:dyDescent="0.3">
      <c r="A289">
        <v>51</v>
      </c>
      <c r="B289" s="1">
        <v>40546</v>
      </c>
    </row>
    <row r="290" spans="1:2" x14ac:dyDescent="0.3">
      <c r="A290">
        <v>51</v>
      </c>
      <c r="B290" s="1">
        <v>40550</v>
      </c>
    </row>
    <row r="291" spans="1:2" x14ac:dyDescent="0.3">
      <c r="A291">
        <v>51</v>
      </c>
      <c r="B291" s="1">
        <v>40554</v>
      </c>
    </row>
    <row r="292" spans="1:2" x14ac:dyDescent="0.3">
      <c r="A292">
        <v>50</v>
      </c>
      <c r="B292" s="1">
        <v>40550</v>
      </c>
    </row>
    <row r="293" spans="1:2" x14ac:dyDescent="0.3">
      <c r="A293">
        <v>50</v>
      </c>
      <c r="B293" s="1">
        <v>40566</v>
      </c>
    </row>
    <row r="294" spans="1:2" x14ac:dyDescent="0.3">
      <c r="A294">
        <v>49</v>
      </c>
      <c r="B294" s="1">
        <v>40552</v>
      </c>
    </row>
    <row r="295" spans="1:2" x14ac:dyDescent="0.3">
      <c r="A295">
        <v>49</v>
      </c>
      <c r="B295" s="1">
        <v>40552</v>
      </c>
    </row>
    <row r="296" spans="1:2" x14ac:dyDescent="0.3">
      <c r="A296">
        <v>49</v>
      </c>
      <c r="B296" s="1">
        <v>40555</v>
      </c>
    </row>
    <row r="297" spans="1:2" x14ac:dyDescent="0.3">
      <c r="A297">
        <v>49</v>
      </c>
      <c r="B297" s="1">
        <v>40555</v>
      </c>
    </row>
    <row r="298" spans="1:2" x14ac:dyDescent="0.3">
      <c r="A298">
        <v>49</v>
      </c>
      <c r="B298" s="1">
        <v>40566</v>
      </c>
    </row>
    <row r="299" spans="1:2" x14ac:dyDescent="0.3">
      <c r="A299">
        <v>49</v>
      </c>
      <c r="B299" s="1">
        <v>40571</v>
      </c>
    </row>
    <row r="300" spans="1:2" x14ac:dyDescent="0.3">
      <c r="A300">
        <v>48</v>
      </c>
      <c r="B300" s="1">
        <v>40547</v>
      </c>
    </row>
    <row r="301" spans="1:2" x14ac:dyDescent="0.3">
      <c r="A301">
        <v>48</v>
      </c>
      <c r="B301" s="1">
        <v>40549</v>
      </c>
    </row>
    <row r="302" spans="1:2" x14ac:dyDescent="0.3">
      <c r="A302">
        <v>48</v>
      </c>
      <c r="B302" s="1">
        <v>40552</v>
      </c>
    </row>
    <row r="303" spans="1:2" x14ac:dyDescent="0.3">
      <c r="A303">
        <v>48</v>
      </c>
      <c r="B303" s="1">
        <v>40569</v>
      </c>
    </row>
    <row r="304" spans="1:2" x14ac:dyDescent="0.3">
      <c r="A304">
        <v>47</v>
      </c>
      <c r="B304" s="1">
        <v>40553</v>
      </c>
    </row>
    <row r="305" spans="1:2" x14ac:dyDescent="0.3">
      <c r="A305">
        <v>47</v>
      </c>
      <c r="B305" s="1">
        <v>40554</v>
      </c>
    </row>
    <row r="306" spans="1:2" x14ac:dyDescent="0.3">
      <c r="A306">
        <v>47</v>
      </c>
      <c r="B306" s="1">
        <v>40560</v>
      </c>
    </row>
    <row r="307" spans="1:2" x14ac:dyDescent="0.3">
      <c r="A307">
        <v>47</v>
      </c>
      <c r="B307" s="1">
        <v>40562</v>
      </c>
    </row>
    <row r="308" spans="1:2" x14ac:dyDescent="0.3">
      <c r="A308">
        <v>47</v>
      </c>
      <c r="B308" s="1">
        <v>40569</v>
      </c>
    </row>
    <row r="309" spans="1:2" x14ac:dyDescent="0.3">
      <c r="A309">
        <v>46</v>
      </c>
      <c r="B309" s="1">
        <v>40548</v>
      </c>
    </row>
    <row r="310" spans="1:2" x14ac:dyDescent="0.3">
      <c r="A310">
        <v>46</v>
      </c>
      <c r="B310" s="1">
        <v>40567</v>
      </c>
    </row>
    <row r="311" spans="1:2" x14ac:dyDescent="0.3">
      <c r="A311">
        <v>45</v>
      </c>
      <c r="B311" s="1">
        <v>40549</v>
      </c>
    </row>
    <row r="312" spans="1:2" x14ac:dyDescent="0.3">
      <c r="A312">
        <v>45</v>
      </c>
      <c r="B312" s="1">
        <v>40553</v>
      </c>
    </row>
    <row r="313" spans="1:2" x14ac:dyDescent="0.3">
      <c r="A313">
        <v>45</v>
      </c>
      <c r="B313" s="1">
        <v>40565</v>
      </c>
    </row>
    <row r="314" spans="1:2" x14ac:dyDescent="0.3">
      <c r="A314">
        <v>45</v>
      </c>
      <c r="B314" s="1">
        <v>40567</v>
      </c>
    </row>
    <row r="315" spans="1:2" x14ac:dyDescent="0.3">
      <c r="A315">
        <v>45</v>
      </c>
      <c r="B315" s="1">
        <v>40568</v>
      </c>
    </row>
    <row r="316" spans="1:2" x14ac:dyDescent="0.3">
      <c r="A316">
        <v>44</v>
      </c>
      <c r="B316" s="1">
        <v>40546</v>
      </c>
    </row>
    <row r="317" spans="1:2" x14ac:dyDescent="0.3">
      <c r="A317">
        <v>44</v>
      </c>
      <c r="B317" s="1">
        <v>40555</v>
      </c>
    </row>
    <row r="318" spans="1:2" x14ac:dyDescent="0.3">
      <c r="A318">
        <v>44</v>
      </c>
      <c r="B318" s="1">
        <v>40557</v>
      </c>
    </row>
    <row r="319" spans="1:2" x14ac:dyDescent="0.3">
      <c r="A319">
        <v>44</v>
      </c>
      <c r="B319" s="1">
        <v>40558</v>
      </c>
    </row>
    <row r="320" spans="1:2" x14ac:dyDescent="0.3">
      <c r="A320">
        <v>43</v>
      </c>
      <c r="B320" s="1">
        <v>40548</v>
      </c>
    </row>
    <row r="321" spans="1:2" x14ac:dyDescent="0.3">
      <c r="A321">
        <v>43</v>
      </c>
      <c r="B321" s="1">
        <v>40569</v>
      </c>
    </row>
    <row r="322" spans="1:2" x14ac:dyDescent="0.3">
      <c r="A322">
        <v>42</v>
      </c>
      <c r="B322" s="1">
        <v>40547</v>
      </c>
    </row>
    <row r="323" spans="1:2" x14ac:dyDescent="0.3">
      <c r="A323">
        <v>42</v>
      </c>
      <c r="B323" s="1">
        <v>40548</v>
      </c>
    </row>
    <row r="324" spans="1:2" x14ac:dyDescent="0.3">
      <c r="A324">
        <v>42</v>
      </c>
      <c r="B324" s="1">
        <v>40556</v>
      </c>
    </row>
    <row r="325" spans="1:2" x14ac:dyDescent="0.3">
      <c r="A325">
        <v>41</v>
      </c>
      <c r="B325" s="1">
        <v>40552</v>
      </c>
    </row>
    <row r="326" spans="1:2" x14ac:dyDescent="0.3">
      <c r="A326">
        <v>41</v>
      </c>
      <c r="B326" s="1">
        <v>40558</v>
      </c>
    </row>
    <row r="327" spans="1:2" x14ac:dyDescent="0.3">
      <c r="A327">
        <v>41</v>
      </c>
      <c r="B327" s="1">
        <v>40561</v>
      </c>
    </row>
    <row r="328" spans="1:2" x14ac:dyDescent="0.3">
      <c r="A328">
        <v>41</v>
      </c>
      <c r="B328" s="1">
        <v>40564</v>
      </c>
    </row>
    <row r="329" spans="1:2" x14ac:dyDescent="0.3">
      <c r="A329">
        <v>41</v>
      </c>
      <c r="B329" s="1">
        <v>40569</v>
      </c>
    </row>
    <row r="330" spans="1:2" x14ac:dyDescent="0.3">
      <c r="A330">
        <v>41</v>
      </c>
      <c r="B330" s="1">
        <v>40571</v>
      </c>
    </row>
    <row r="331" spans="1:2" x14ac:dyDescent="0.3">
      <c r="A331">
        <v>40</v>
      </c>
      <c r="B331" s="1">
        <v>40544</v>
      </c>
    </row>
    <row r="332" spans="1:2" x14ac:dyDescent="0.3">
      <c r="A332">
        <v>40</v>
      </c>
      <c r="B332" s="1">
        <v>40556</v>
      </c>
    </row>
    <row r="333" spans="1:2" x14ac:dyDescent="0.3">
      <c r="A333">
        <v>40</v>
      </c>
      <c r="B333" s="1">
        <v>40565</v>
      </c>
    </row>
    <row r="334" spans="1:2" x14ac:dyDescent="0.3">
      <c r="A334">
        <v>40</v>
      </c>
      <c r="B334" s="1">
        <v>40567</v>
      </c>
    </row>
    <row r="335" spans="1:2" x14ac:dyDescent="0.3">
      <c r="A335">
        <v>40</v>
      </c>
      <c r="B335" s="1">
        <v>40568</v>
      </c>
    </row>
    <row r="336" spans="1:2" x14ac:dyDescent="0.3">
      <c r="A336">
        <v>39</v>
      </c>
      <c r="B336" s="1">
        <v>40544</v>
      </c>
    </row>
    <row r="337" spans="1:2" x14ac:dyDescent="0.3">
      <c r="A337">
        <v>39</v>
      </c>
      <c r="B337" s="1">
        <v>40550</v>
      </c>
    </row>
    <row r="338" spans="1:2" x14ac:dyDescent="0.3">
      <c r="A338">
        <v>39</v>
      </c>
      <c r="B338" s="1">
        <v>40555</v>
      </c>
    </row>
    <row r="339" spans="1:2" x14ac:dyDescent="0.3">
      <c r="A339">
        <v>39</v>
      </c>
      <c r="B339" s="1">
        <v>40559</v>
      </c>
    </row>
    <row r="340" spans="1:2" x14ac:dyDescent="0.3">
      <c r="A340">
        <v>39</v>
      </c>
      <c r="B340" s="1">
        <v>40565</v>
      </c>
    </row>
    <row r="341" spans="1:2" x14ac:dyDescent="0.3">
      <c r="A341">
        <v>38</v>
      </c>
      <c r="B341" s="1">
        <v>40552</v>
      </c>
    </row>
    <row r="342" spans="1:2" x14ac:dyDescent="0.3">
      <c r="A342">
        <v>38</v>
      </c>
      <c r="B342" s="1">
        <v>40553</v>
      </c>
    </row>
    <row r="343" spans="1:2" x14ac:dyDescent="0.3">
      <c r="A343">
        <v>38</v>
      </c>
      <c r="B343" s="1">
        <v>40556</v>
      </c>
    </row>
    <row r="344" spans="1:2" x14ac:dyDescent="0.3">
      <c r="A344">
        <v>38</v>
      </c>
      <c r="B344" s="1">
        <v>40570</v>
      </c>
    </row>
    <row r="345" spans="1:2" x14ac:dyDescent="0.3">
      <c r="A345">
        <v>38</v>
      </c>
      <c r="B345" s="1">
        <v>40571</v>
      </c>
    </row>
    <row r="346" spans="1:2" x14ac:dyDescent="0.3">
      <c r="A346">
        <v>37</v>
      </c>
      <c r="B346" s="1">
        <v>40544</v>
      </c>
    </row>
    <row r="347" spans="1:2" x14ac:dyDescent="0.3">
      <c r="A347">
        <v>37</v>
      </c>
      <c r="B347" s="1">
        <v>40551</v>
      </c>
    </row>
    <row r="348" spans="1:2" x14ac:dyDescent="0.3">
      <c r="A348">
        <v>37</v>
      </c>
      <c r="B348" s="1">
        <v>40556</v>
      </c>
    </row>
    <row r="349" spans="1:2" x14ac:dyDescent="0.3">
      <c r="A349">
        <v>36</v>
      </c>
      <c r="B349" s="1">
        <v>40544</v>
      </c>
    </row>
    <row r="350" spans="1:2" x14ac:dyDescent="0.3">
      <c r="A350">
        <v>36</v>
      </c>
      <c r="B350" s="1">
        <v>40544</v>
      </c>
    </row>
    <row r="351" spans="1:2" x14ac:dyDescent="0.3">
      <c r="A351">
        <v>36</v>
      </c>
      <c r="B351" s="1">
        <v>40547</v>
      </c>
    </row>
    <row r="352" spans="1:2" x14ac:dyDescent="0.3">
      <c r="A352">
        <v>36</v>
      </c>
      <c r="B352" s="1">
        <v>40549</v>
      </c>
    </row>
    <row r="353" spans="1:2" x14ac:dyDescent="0.3">
      <c r="A353">
        <v>36</v>
      </c>
      <c r="B353" s="1">
        <v>40550</v>
      </c>
    </row>
    <row r="354" spans="1:2" x14ac:dyDescent="0.3">
      <c r="A354">
        <v>36</v>
      </c>
      <c r="B354" s="1">
        <v>40557</v>
      </c>
    </row>
    <row r="355" spans="1:2" x14ac:dyDescent="0.3">
      <c r="A355">
        <v>36</v>
      </c>
      <c r="B355" s="1">
        <v>40568</v>
      </c>
    </row>
    <row r="356" spans="1:2" x14ac:dyDescent="0.3">
      <c r="A356">
        <v>36</v>
      </c>
      <c r="B356" s="1">
        <v>40569</v>
      </c>
    </row>
    <row r="357" spans="1:2" x14ac:dyDescent="0.3">
      <c r="A357">
        <v>36</v>
      </c>
      <c r="B357" s="1">
        <v>40569</v>
      </c>
    </row>
    <row r="358" spans="1:2" x14ac:dyDescent="0.3">
      <c r="A358">
        <v>35</v>
      </c>
      <c r="B358" s="1">
        <v>40544</v>
      </c>
    </row>
    <row r="359" spans="1:2" x14ac:dyDescent="0.3">
      <c r="A359">
        <v>35</v>
      </c>
      <c r="B359" s="1">
        <v>40547</v>
      </c>
    </row>
    <row r="360" spans="1:2" x14ac:dyDescent="0.3">
      <c r="A360">
        <v>35</v>
      </c>
      <c r="B360" s="1">
        <v>40554</v>
      </c>
    </row>
    <row r="361" spans="1:2" x14ac:dyDescent="0.3">
      <c r="A361">
        <v>35</v>
      </c>
      <c r="B361" s="1">
        <v>40555</v>
      </c>
    </row>
    <row r="362" spans="1:2" x14ac:dyDescent="0.3">
      <c r="A362">
        <v>35</v>
      </c>
      <c r="B362" s="1">
        <v>40561</v>
      </c>
    </row>
    <row r="363" spans="1:2" x14ac:dyDescent="0.3">
      <c r="A363">
        <v>35</v>
      </c>
      <c r="B363" s="1">
        <v>40563</v>
      </c>
    </row>
    <row r="364" spans="1:2" x14ac:dyDescent="0.3">
      <c r="A364">
        <v>35</v>
      </c>
      <c r="B364" s="1">
        <v>40566</v>
      </c>
    </row>
    <row r="365" spans="1:2" x14ac:dyDescent="0.3">
      <c r="A365">
        <v>35</v>
      </c>
      <c r="B365" s="1">
        <v>40567</v>
      </c>
    </row>
    <row r="366" spans="1:2" x14ac:dyDescent="0.3">
      <c r="A366">
        <v>34</v>
      </c>
      <c r="B366" s="1">
        <v>40544</v>
      </c>
    </row>
    <row r="367" spans="1:2" x14ac:dyDescent="0.3">
      <c r="A367">
        <v>34</v>
      </c>
      <c r="B367" s="1">
        <v>40550</v>
      </c>
    </row>
    <row r="368" spans="1:2" x14ac:dyDescent="0.3">
      <c r="A368">
        <v>34</v>
      </c>
      <c r="B368" s="1">
        <v>40551</v>
      </c>
    </row>
    <row r="369" spans="1:2" x14ac:dyDescent="0.3">
      <c r="A369">
        <v>34</v>
      </c>
      <c r="B369" s="1">
        <v>40564</v>
      </c>
    </row>
    <row r="370" spans="1:2" x14ac:dyDescent="0.3">
      <c r="A370">
        <v>33</v>
      </c>
      <c r="B370" s="1">
        <v>40548</v>
      </c>
    </row>
    <row r="371" spans="1:2" x14ac:dyDescent="0.3">
      <c r="A371">
        <v>33</v>
      </c>
      <c r="B371" s="1">
        <v>40555</v>
      </c>
    </row>
    <row r="372" spans="1:2" x14ac:dyDescent="0.3">
      <c r="A372">
        <v>33</v>
      </c>
      <c r="B372" s="1">
        <v>40558</v>
      </c>
    </row>
    <row r="373" spans="1:2" x14ac:dyDescent="0.3">
      <c r="A373">
        <v>33</v>
      </c>
      <c r="B373" s="1">
        <v>40560</v>
      </c>
    </row>
    <row r="374" spans="1:2" x14ac:dyDescent="0.3">
      <c r="A374">
        <v>33</v>
      </c>
      <c r="B374" s="1">
        <v>40560</v>
      </c>
    </row>
    <row r="375" spans="1:2" x14ac:dyDescent="0.3">
      <c r="A375">
        <v>33</v>
      </c>
      <c r="B375" s="1">
        <v>40561</v>
      </c>
    </row>
    <row r="376" spans="1:2" x14ac:dyDescent="0.3">
      <c r="A376">
        <v>33</v>
      </c>
      <c r="B376" s="1">
        <v>40565</v>
      </c>
    </row>
    <row r="377" spans="1:2" x14ac:dyDescent="0.3">
      <c r="A377">
        <v>32</v>
      </c>
      <c r="B377" s="1">
        <v>40544</v>
      </c>
    </row>
    <row r="378" spans="1:2" x14ac:dyDescent="0.3">
      <c r="A378">
        <v>32</v>
      </c>
      <c r="B378" s="1">
        <v>40554</v>
      </c>
    </row>
    <row r="379" spans="1:2" x14ac:dyDescent="0.3">
      <c r="A379">
        <v>32</v>
      </c>
      <c r="B379" s="1">
        <v>40559</v>
      </c>
    </row>
    <row r="380" spans="1:2" x14ac:dyDescent="0.3">
      <c r="A380">
        <v>32</v>
      </c>
      <c r="B380" s="1">
        <v>40562</v>
      </c>
    </row>
    <row r="381" spans="1:2" x14ac:dyDescent="0.3">
      <c r="A381">
        <v>31</v>
      </c>
      <c r="B381" s="1">
        <v>40545</v>
      </c>
    </row>
    <row r="382" spans="1:2" x14ac:dyDescent="0.3">
      <c r="A382">
        <v>31</v>
      </c>
      <c r="B382" s="1">
        <v>40553</v>
      </c>
    </row>
    <row r="383" spans="1:2" x14ac:dyDescent="0.3">
      <c r="A383">
        <v>31</v>
      </c>
      <c r="B383" s="1">
        <v>40553</v>
      </c>
    </row>
    <row r="384" spans="1:2" x14ac:dyDescent="0.3">
      <c r="A384">
        <v>31</v>
      </c>
      <c r="B384" s="1">
        <v>40563</v>
      </c>
    </row>
    <row r="385" spans="1:2" x14ac:dyDescent="0.3">
      <c r="A385">
        <v>31</v>
      </c>
      <c r="B385" s="1">
        <v>40571</v>
      </c>
    </row>
    <row r="386" spans="1:2" x14ac:dyDescent="0.3">
      <c r="A386">
        <v>30</v>
      </c>
      <c r="B386" s="1">
        <v>40545</v>
      </c>
    </row>
    <row r="387" spans="1:2" x14ac:dyDescent="0.3">
      <c r="A387">
        <v>30</v>
      </c>
      <c r="B387" s="1">
        <v>40546</v>
      </c>
    </row>
    <row r="388" spans="1:2" x14ac:dyDescent="0.3">
      <c r="A388">
        <v>30</v>
      </c>
      <c r="B388" s="1">
        <v>40551</v>
      </c>
    </row>
    <row r="389" spans="1:2" x14ac:dyDescent="0.3">
      <c r="A389">
        <v>30</v>
      </c>
      <c r="B389" s="1">
        <v>40553</v>
      </c>
    </row>
    <row r="390" spans="1:2" x14ac:dyDescent="0.3">
      <c r="A390">
        <v>30</v>
      </c>
      <c r="B390" s="1">
        <v>40556</v>
      </c>
    </row>
    <row r="391" spans="1:2" x14ac:dyDescent="0.3">
      <c r="A391">
        <v>30</v>
      </c>
      <c r="B391" s="1">
        <v>40565</v>
      </c>
    </row>
    <row r="392" spans="1:2" x14ac:dyDescent="0.3">
      <c r="A392">
        <v>30</v>
      </c>
      <c r="B392" s="1">
        <v>40569</v>
      </c>
    </row>
    <row r="393" spans="1:2" x14ac:dyDescent="0.3">
      <c r="A393">
        <v>30</v>
      </c>
      <c r="B393" s="1">
        <v>40571</v>
      </c>
    </row>
    <row r="394" spans="1:2" x14ac:dyDescent="0.3">
      <c r="A394">
        <v>29</v>
      </c>
      <c r="B394" s="1">
        <v>40554</v>
      </c>
    </row>
    <row r="395" spans="1:2" x14ac:dyDescent="0.3">
      <c r="A395">
        <v>29</v>
      </c>
      <c r="B395" s="1">
        <v>40571</v>
      </c>
    </row>
    <row r="396" spans="1:2" x14ac:dyDescent="0.3">
      <c r="A396">
        <v>28</v>
      </c>
      <c r="B396" s="1">
        <v>40544</v>
      </c>
    </row>
    <row r="397" spans="1:2" x14ac:dyDescent="0.3">
      <c r="A397">
        <v>28</v>
      </c>
      <c r="B397" s="1">
        <v>40551</v>
      </c>
    </row>
    <row r="398" spans="1:2" x14ac:dyDescent="0.3">
      <c r="A398">
        <v>28</v>
      </c>
      <c r="B398" s="1">
        <v>40556</v>
      </c>
    </row>
    <row r="399" spans="1:2" x14ac:dyDescent="0.3">
      <c r="A399">
        <v>28</v>
      </c>
      <c r="B399" s="1">
        <v>40558</v>
      </c>
    </row>
    <row r="400" spans="1:2" x14ac:dyDescent="0.3">
      <c r="A400">
        <v>28</v>
      </c>
      <c r="B400" s="1">
        <v>40559</v>
      </c>
    </row>
    <row r="401" spans="1:2" x14ac:dyDescent="0.3">
      <c r="A401">
        <v>28</v>
      </c>
      <c r="B401" s="1">
        <v>40561</v>
      </c>
    </row>
    <row r="402" spans="1:2" x14ac:dyDescent="0.3">
      <c r="A402">
        <v>28</v>
      </c>
      <c r="B402" s="1">
        <v>40562</v>
      </c>
    </row>
    <row r="403" spans="1:2" x14ac:dyDescent="0.3">
      <c r="A403">
        <v>28</v>
      </c>
      <c r="B403" s="1">
        <v>40566</v>
      </c>
    </row>
    <row r="404" spans="1:2" x14ac:dyDescent="0.3">
      <c r="A404">
        <v>28</v>
      </c>
      <c r="B404" s="1">
        <v>40566</v>
      </c>
    </row>
    <row r="405" spans="1:2" x14ac:dyDescent="0.3">
      <c r="A405">
        <v>28</v>
      </c>
      <c r="B405" s="1">
        <v>40569</v>
      </c>
    </row>
    <row r="406" spans="1:2" x14ac:dyDescent="0.3">
      <c r="A406">
        <v>27</v>
      </c>
      <c r="B406" s="1">
        <v>40554</v>
      </c>
    </row>
    <row r="407" spans="1:2" x14ac:dyDescent="0.3">
      <c r="A407">
        <v>27</v>
      </c>
      <c r="B407" s="1">
        <v>40557</v>
      </c>
    </row>
    <row r="408" spans="1:2" x14ac:dyDescent="0.3">
      <c r="A408">
        <v>27</v>
      </c>
      <c r="B408" s="1">
        <v>40560</v>
      </c>
    </row>
    <row r="409" spans="1:2" x14ac:dyDescent="0.3">
      <c r="A409">
        <v>27</v>
      </c>
      <c r="B409" s="1">
        <v>40564</v>
      </c>
    </row>
    <row r="410" spans="1:2" x14ac:dyDescent="0.3">
      <c r="A410">
        <v>27</v>
      </c>
      <c r="B410" s="1">
        <v>40564</v>
      </c>
    </row>
    <row r="411" spans="1:2" x14ac:dyDescent="0.3">
      <c r="A411">
        <v>27</v>
      </c>
      <c r="B411" s="1">
        <v>40565</v>
      </c>
    </row>
    <row r="412" spans="1:2" x14ac:dyDescent="0.3">
      <c r="A412">
        <v>27</v>
      </c>
      <c r="B412" s="1">
        <v>40570</v>
      </c>
    </row>
    <row r="413" spans="1:2" x14ac:dyDescent="0.3">
      <c r="A413">
        <v>26</v>
      </c>
      <c r="B413" s="1">
        <v>40558</v>
      </c>
    </row>
    <row r="414" spans="1:2" x14ac:dyDescent="0.3">
      <c r="A414">
        <v>26</v>
      </c>
      <c r="B414" s="1">
        <v>40569</v>
      </c>
    </row>
    <row r="415" spans="1:2" x14ac:dyDescent="0.3">
      <c r="A415">
        <v>25</v>
      </c>
      <c r="B415" s="1">
        <v>40551</v>
      </c>
    </row>
    <row r="416" spans="1:2" x14ac:dyDescent="0.3">
      <c r="A416">
        <v>25</v>
      </c>
      <c r="B416" s="1">
        <v>40552</v>
      </c>
    </row>
    <row r="417" spans="1:2" x14ac:dyDescent="0.3">
      <c r="A417">
        <v>25</v>
      </c>
      <c r="B417" s="1">
        <v>40566</v>
      </c>
    </row>
    <row r="418" spans="1:2" x14ac:dyDescent="0.3">
      <c r="A418">
        <v>24</v>
      </c>
      <c r="B418" s="1">
        <v>40553</v>
      </c>
    </row>
    <row r="419" spans="1:2" x14ac:dyDescent="0.3">
      <c r="A419">
        <v>24</v>
      </c>
      <c r="B419" s="1">
        <v>40567</v>
      </c>
    </row>
    <row r="420" spans="1:2" x14ac:dyDescent="0.3">
      <c r="A420">
        <v>24</v>
      </c>
      <c r="B420" s="1">
        <v>40570</v>
      </c>
    </row>
    <row r="421" spans="1:2" x14ac:dyDescent="0.3">
      <c r="A421">
        <v>23</v>
      </c>
      <c r="B421" s="1">
        <v>40549</v>
      </c>
    </row>
    <row r="422" spans="1:2" x14ac:dyDescent="0.3">
      <c r="A422">
        <v>23</v>
      </c>
      <c r="B422" s="1">
        <v>40558</v>
      </c>
    </row>
    <row r="423" spans="1:2" x14ac:dyDescent="0.3">
      <c r="A423">
        <v>23</v>
      </c>
      <c r="B423" s="1">
        <v>40559</v>
      </c>
    </row>
    <row r="424" spans="1:2" x14ac:dyDescent="0.3">
      <c r="A424">
        <v>22</v>
      </c>
      <c r="B424" s="1">
        <v>40545</v>
      </c>
    </row>
    <row r="425" spans="1:2" x14ac:dyDescent="0.3">
      <c r="A425">
        <v>22</v>
      </c>
      <c r="B425" s="1">
        <v>40551</v>
      </c>
    </row>
    <row r="426" spans="1:2" x14ac:dyDescent="0.3">
      <c r="A426">
        <v>22</v>
      </c>
      <c r="B426" s="1">
        <v>40561</v>
      </c>
    </row>
    <row r="427" spans="1:2" x14ac:dyDescent="0.3">
      <c r="A427">
        <v>22</v>
      </c>
      <c r="B427" s="1">
        <v>40566</v>
      </c>
    </row>
    <row r="428" spans="1:2" x14ac:dyDescent="0.3">
      <c r="A428">
        <v>21</v>
      </c>
      <c r="B428" s="1">
        <v>40559</v>
      </c>
    </row>
    <row r="429" spans="1:2" x14ac:dyDescent="0.3">
      <c r="A429">
        <v>21</v>
      </c>
      <c r="B429" s="1">
        <v>40564</v>
      </c>
    </row>
    <row r="430" spans="1:2" x14ac:dyDescent="0.3">
      <c r="A430">
        <v>21</v>
      </c>
      <c r="B430" s="1">
        <v>40566</v>
      </c>
    </row>
    <row r="431" spans="1:2" x14ac:dyDescent="0.3">
      <c r="A431">
        <v>20</v>
      </c>
      <c r="B431" s="1">
        <v>40545</v>
      </c>
    </row>
    <row r="432" spans="1:2" x14ac:dyDescent="0.3">
      <c r="A432">
        <v>20</v>
      </c>
      <c r="B432" s="1">
        <v>40546</v>
      </c>
    </row>
    <row r="433" spans="1:2" x14ac:dyDescent="0.3">
      <c r="A433">
        <v>20</v>
      </c>
      <c r="B433" s="1">
        <v>40551</v>
      </c>
    </row>
    <row r="434" spans="1:2" x14ac:dyDescent="0.3">
      <c r="A434">
        <v>20</v>
      </c>
      <c r="B434" s="1">
        <v>40552</v>
      </c>
    </row>
    <row r="435" spans="1:2" x14ac:dyDescent="0.3">
      <c r="A435">
        <v>20</v>
      </c>
      <c r="B435" s="1">
        <v>40554</v>
      </c>
    </row>
    <row r="436" spans="1:2" x14ac:dyDescent="0.3">
      <c r="A436">
        <v>20</v>
      </c>
      <c r="B436" s="1">
        <v>40555</v>
      </c>
    </row>
    <row r="437" spans="1:2" x14ac:dyDescent="0.3">
      <c r="A437">
        <v>20</v>
      </c>
      <c r="B437" s="1">
        <v>40558</v>
      </c>
    </row>
    <row r="438" spans="1:2" x14ac:dyDescent="0.3">
      <c r="A438">
        <v>20</v>
      </c>
      <c r="B438" s="1">
        <v>40561</v>
      </c>
    </row>
    <row r="439" spans="1:2" x14ac:dyDescent="0.3">
      <c r="A439">
        <v>19</v>
      </c>
      <c r="B439" s="1">
        <v>40548</v>
      </c>
    </row>
    <row r="440" spans="1:2" x14ac:dyDescent="0.3">
      <c r="A440">
        <v>19</v>
      </c>
      <c r="B440" s="1">
        <v>40552</v>
      </c>
    </row>
    <row r="441" spans="1:2" x14ac:dyDescent="0.3">
      <c r="A441">
        <v>19</v>
      </c>
      <c r="B441" s="1">
        <v>40554</v>
      </c>
    </row>
    <row r="442" spans="1:2" x14ac:dyDescent="0.3">
      <c r="A442">
        <v>19</v>
      </c>
      <c r="B442" s="1">
        <v>40566</v>
      </c>
    </row>
    <row r="443" spans="1:2" x14ac:dyDescent="0.3">
      <c r="A443">
        <v>18</v>
      </c>
      <c r="B443" s="1">
        <v>40553</v>
      </c>
    </row>
    <row r="444" spans="1:2" x14ac:dyDescent="0.3">
      <c r="A444">
        <v>18</v>
      </c>
      <c r="B444" s="1">
        <v>40559</v>
      </c>
    </row>
    <row r="445" spans="1:2" x14ac:dyDescent="0.3">
      <c r="A445">
        <v>18</v>
      </c>
      <c r="B445" s="1">
        <v>40559</v>
      </c>
    </row>
    <row r="446" spans="1:2" x14ac:dyDescent="0.3">
      <c r="A446">
        <v>18</v>
      </c>
      <c r="B446" s="1">
        <v>40566</v>
      </c>
    </row>
    <row r="447" spans="1:2" x14ac:dyDescent="0.3">
      <c r="A447">
        <v>17</v>
      </c>
      <c r="B447" s="1">
        <v>40545</v>
      </c>
    </row>
    <row r="448" spans="1:2" x14ac:dyDescent="0.3">
      <c r="A448">
        <v>17</v>
      </c>
      <c r="B448" s="1">
        <v>40545</v>
      </c>
    </row>
    <row r="449" spans="1:2" x14ac:dyDescent="0.3">
      <c r="A449">
        <v>17</v>
      </c>
      <c r="B449" s="1">
        <v>40550</v>
      </c>
    </row>
    <row r="450" spans="1:2" x14ac:dyDescent="0.3">
      <c r="A450">
        <v>17</v>
      </c>
      <c r="B450" s="1">
        <v>40557</v>
      </c>
    </row>
    <row r="451" spans="1:2" x14ac:dyDescent="0.3">
      <c r="A451">
        <v>17</v>
      </c>
      <c r="B451" s="1">
        <v>40560</v>
      </c>
    </row>
    <row r="452" spans="1:2" x14ac:dyDescent="0.3">
      <c r="A452">
        <v>17</v>
      </c>
      <c r="B452" s="1">
        <v>40569</v>
      </c>
    </row>
    <row r="453" spans="1:2" x14ac:dyDescent="0.3">
      <c r="A453">
        <v>16</v>
      </c>
      <c r="B453" s="1">
        <v>40544</v>
      </c>
    </row>
    <row r="454" spans="1:2" x14ac:dyDescent="0.3">
      <c r="A454">
        <v>16</v>
      </c>
      <c r="B454" s="1">
        <v>40551</v>
      </c>
    </row>
    <row r="455" spans="1:2" x14ac:dyDescent="0.3">
      <c r="A455">
        <v>16</v>
      </c>
      <c r="B455" s="1">
        <v>40551</v>
      </c>
    </row>
    <row r="456" spans="1:2" x14ac:dyDescent="0.3">
      <c r="A456">
        <v>16</v>
      </c>
      <c r="B456" s="1">
        <v>40555</v>
      </c>
    </row>
    <row r="457" spans="1:2" x14ac:dyDescent="0.3">
      <c r="A457">
        <v>16</v>
      </c>
      <c r="B457" s="1">
        <v>40559</v>
      </c>
    </row>
    <row r="458" spans="1:2" x14ac:dyDescent="0.3">
      <c r="A458">
        <v>16</v>
      </c>
      <c r="B458" s="1">
        <v>40560</v>
      </c>
    </row>
    <row r="459" spans="1:2" x14ac:dyDescent="0.3">
      <c r="A459">
        <v>16</v>
      </c>
      <c r="B459" s="1">
        <v>40570</v>
      </c>
    </row>
    <row r="460" spans="1:2" x14ac:dyDescent="0.3">
      <c r="A460">
        <v>16</v>
      </c>
      <c r="B460" s="1">
        <v>40571</v>
      </c>
    </row>
    <row r="461" spans="1:2" x14ac:dyDescent="0.3">
      <c r="A461">
        <v>15</v>
      </c>
      <c r="B461" s="1">
        <v>40550</v>
      </c>
    </row>
    <row r="462" spans="1:2" x14ac:dyDescent="0.3">
      <c r="A462">
        <v>15</v>
      </c>
      <c r="B462" s="1">
        <v>40551</v>
      </c>
    </row>
    <row r="463" spans="1:2" x14ac:dyDescent="0.3">
      <c r="A463">
        <v>15</v>
      </c>
      <c r="B463" s="1">
        <v>40552</v>
      </c>
    </row>
    <row r="464" spans="1:2" x14ac:dyDescent="0.3">
      <c r="A464">
        <v>15</v>
      </c>
      <c r="B464" s="1">
        <v>40556</v>
      </c>
    </row>
    <row r="465" spans="1:2" x14ac:dyDescent="0.3">
      <c r="A465">
        <v>15</v>
      </c>
      <c r="B465" s="1">
        <v>40559</v>
      </c>
    </row>
    <row r="466" spans="1:2" x14ac:dyDescent="0.3">
      <c r="A466">
        <v>15</v>
      </c>
      <c r="B466" s="1">
        <v>40567</v>
      </c>
    </row>
    <row r="467" spans="1:2" x14ac:dyDescent="0.3">
      <c r="A467">
        <v>14</v>
      </c>
      <c r="B467" s="1">
        <v>40544</v>
      </c>
    </row>
    <row r="468" spans="1:2" x14ac:dyDescent="0.3">
      <c r="A468">
        <v>14</v>
      </c>
      <c r="B468" s="1">
        <v>40557</v>
      </c>
    </row>
    <row r="469" spans="1:2" x14ac:dyDescent="0.3">
      <c r="A469">
        <v>13</v>
      </c>
      <c r="B469" s="1">
        <v>40544</v>
      </c>
    </row>
    <row r="470" spans="1:2" x14ac:dyDescent="0.3">
      <c r="A470">
        <v>13</v>
      </c>
      <c r="B470" s="1">
        <v>40560</v>
      </c>
    </row>
    <row r="471" spans="1:2" x14ac:dyDescent="0.3">
      <c r="A471">
        <v>13</v>
      </c>
      <c r="B471" s="1">
        <v>40560</v>
      </c>
    </row>
    <row r="472" spans="1:2" x14ac:dyDescent="0.3">
      <c r="A472">
        <v>13</v>
      </c>
      <c r="B472" s="1">
        <v>40563</v>
      </c>
    </row>
    <row r="473" spans="1:2" x14ac:dyDescent="0.3">
      <c r="A473">
        <v>13</v>
      </c>
      <c r="B473" s="1">
        <v>40565</v>
      </c>
    </row>
    <row r="474" spans="1:2" x14ac:dyDescent="0.3">
      <c r="A474">
        <v>13</v>
      </c>
      <c r="B474" s="1">
        <v>40566</v>
      </c>
    </row>
    <row r="475" spans="1:2" x14ac:dyDescent="0.3">
      <c r="A475">
        <v>12</v>
      </c>
      <c r="B475" s="1">
        <v>40546</v>
      </c>
    </row>
    <row r="476" spans="1:2" x14ac:dyDescent="0.3">
      <c r="A476">
        <v>12</v>
      </c>
      <c r="B476" s="1">
        <v>40552</v>
      </c>
    </row>
    <row r="477" spans="1:2" x14ac:dyDescent="0.3">
      <c r="A477">
        <v>12</v>
      </c>
      <c r="B477" s="1">
        <v>40554</v>
      </c>
    </row>
    <row r="478" spans="1:2" x14ac:dyDescent="0.3">
      <c r="A478">
        <v>12</v>
      </c>
      <c r="B478" s="1">
        <v>40558</v>
      </c>
    </row>
    <row r="479" spans="1:2" x14ac:dyDescent="0.3">
      <c r="A479">
        <v>12</v>
      </c>
      <c r="B479" s="1">
        <v>40565</v>
      </c>
    </row>
    <row r="480" spans="1:2" x14ac:dyDescent="0.3">
      <c r="A480">
        <v>11</v>
      </c>
      <c r="B480" s="1">
        <v>40547</v>
      </c>
    </row>
    <row r="481" spans="1:2" x14ac:dyDescent="0.3">
      <c r="A481">
        <v>11</v>
      </c>
      <c r="B481" s="1">
        <v>40549</v>
      </c>
    </row>
    <row r="482" spans="1:2" x14ac:dyDescent="0.3">
      <c r="A482">
        <v>11</v>
      </c>
      <c r="B482" s="1">
        <v>40552</v>
      </c>
    </row>
    <row r="483" spans="1:2" x14ac:dyDescent="0.3">
      <c r="A483">
        <v>11</v>
      </c>
      <c r="B483" s="1">
        <v>40565</v>
      </c>
    </row>
    <row r="484" spans="1:2" x14ac:dyDescent="0.3">
      <c r="A484">
        <v>10</v>
      </c>
      <c r="B484" s="1">
        <v>40552</v>
      </c>
    </row>
    <row r="485" spans="1:2" x14ac:dyDescent="0.3">
      <c r="A485">
        <v>10</v>
      </c>
      <c r="B485" s="1">
        <v>40558</v>
      </c>
    </row>
    <row r="486" spans="1:2" x14ac:dyDescent="0.3">
      <c r="A486">
        <v>10</v>
      </c>
      <c r="B486" s="1">
        <v>40569</v>
      </c>
    </row>
    <row r="487" spans="1:2" x14ac:dyDescent="0.3">
      <c r="A487">
        <v>9</v>
      </c>
      <c r="B487" s="1">
        <v>40545</v>
      </c>
    </row>
    <row r="488" spans="1:2" x14ac:dyDescent="0.3">
      <c r="A488">
        <v>9</v>
      </c>
      <c r="B488" s="1">
        <v>40545</v>
      </c>
    </row>
    <row r="489" spans="1:2" x14ac:dyDescent="0.3">
      <c r="A489">
        <v>9</v>
      </c>
      <c r="B489" s="1">
        <v>40551</v>
      </c>
    </row>
    <row r="490" spans="1:2" x14ac:dyDescent="0.3">
      <c r="A490">
        <v>9</v>
      </c>
      <c r="B490" s="1">
        <v>40568</v>
      </c>
    </row>
    <row r="491" spans="1:2" x14ac:dyDescent="0.3">
      <c r="A491">
        <v>9</v>
      </c>
      <c r="B491" s="1">
        <v>40568</v>
      </c>
    </row>
    <row r="492" spans="1:2" x14ac:dyDescent="0.3">
      <c r="A492">
        <v>9</v>
      </c>
      <c r="B492" s="1">
        <v>40571</v>
      </c>
    </row>
    <row r="493" spans="1:2" x14ac:dyDescent="0.3">
      <c r="A493">
        <v>8</v>
      </c>
      <c r="B493" s="1">
        <v>40544</v>
      </c>
    </row>
    <row r="494" spans="1:2" x14ac:dyDescent="0.3">
      <c r="A494">
        <v>8</v>
      </c>
      <c r="B494" s="1">
        <v>40545</v>
      </c>
    </row>
    <row r="495" spans="1:2" x14ac:dyDescent="0.3">
      <c r="A495">
        <v>8</v>
      </c>
      <c r="B495" s="1">
        <v>40545</v>
      </c>
    </row>
    <row r="496" spans="1:2" x14ac:dyDescent="0.3">
      <c r="A496">
        <v>8</v>
      </c>
      <c r="B496" s="1">
        <v>40557</v>
      </c>
    </row>
    <row r="497" spans="1:2" x14ac:dyDescent="0.3">
      <c r="A497">
        <v>8</v>
      </c>
      <c r="B497" s="1">
        <v>40558</v>
      </c>
    </row>
    <row r="498" spans="1:2" x14ac:dyDescent="0.3">
      <c r="A498">
        <v>8</v>
      </c>
      <c r="B498" s="1">
        <v>40560</v>
      </c>
    </row>
    <row r="499" spans="1:2" x14ac:dyDescent="0.3">
      <c r="A499">
        <v>8</v>
      </c>
      <c r="B499" s="1">
        <v>40565</v>
      </c>
    </row>
    <row r="500" spans="1:2" x14ac:dyDescent="0.3">
      <c r="A500">
        <v>8</v>
      </c>
      <c r="B500" s="1">
        <v>40569</v>
      </c>
    </row>
    <row r="501" spans="1:2" x14ac:dyDescent="0.3">
      <c r="A501">
        <v>7</v>
      </c>
      <c r="B501" s="1">
        <v>40550</v>
      </c>
    </row>
    <row r="502" spans="1:2" x14ac:dyDescent="0.3">
      <c r="A502">
        <v>7</v>
      </c>
      <c r="B502" s="1">
        <v>40551</v>
      </c>
    </row>
    <row r="503" spans="1:2" x14ac:dyDescent="0.3">
      <c r="A503">
        <v>7</v>
      </c>
      <c r="B503" s="1">
        <v>40555</v>
      </c>
    </row>
    <row r="504" spans="1:2" x14ac:dyDescent="0.3">
      <c r="A504">
        <v>7</v>
      </c>
      <c r="B504" s="1">
        <v>40556</v>
      </c>
    </row>
    <row r="505" spans="1:2" x14ac:dyDescent="0.3">
      <c r="A505">
        <v>7</v>
      </c>
      <c r="B505" s="1">
        <v>40562</v>
      </c>
    </row>
    <row r="506" spans="1:2" x14ac:dyDescent="0.3">
      <c r="A506">
        <v>7</v>
      </c>
      <c r="B506" s="1">
        <v>40562</v>
      </c>
    </row>
    <row r="507" spans="1:2" x14ac:dyDescent="0.3">
      <c r="A507">
        <v>7</v>
      </c>
      <c r="B507" s="1">
        <v>40565</v>
      </c>
    </row>
    <row r="508" spans="1:2" x14ac:dyDescent="0.3">
      <c r="A508">
        <v>7</v>
      </c>
      <c r="B508" s="1">
        <v>40567</v>
      </c>
    </row>
    <row r="509" spans="1:2" x14ac:dyDescent="0.3">
      <c r="A509">
        <v>6</v>
      </c>
      <c r="B509" s="1">
        <v>40545</v>
      </c>
    </row>
    <row r="510" spans="1:2" x14ac:dyDescent="0.3">
      <c r="A510">
        <v>6</v>
      </c>
      <c r="B510" s="1">
        <v>40548</v>
      </c>
    </row>
    <row r="511" spans="1:2" x14ac:dyDescent="0.3">
      <c r="A511">
        <v>6</v>
      </c>
      <c r="B511" s="1">
        <v>40548</v>
      </c>
    </row>
    <row r="512" spans="1:2" x14ac:dyDescent="0.3">
      <c r="A512">
        <v>6</v>
      </c>
      <c r="B512" s="1">
        <v>40552</v>
      </c>
    </row>
    <row r="513" spans="1:2" x14ac:dyDescent="0.3">
      <c r="A513">
        <v>6</v>
      </c>
      <c r="B513" s="1">
        <v>40552</v>
      </c>
    </row>
    <row r="514" spans="1:2" x14ac:dyDescent="0.3">
      <c r="A514">
        <v>6</v>
      </c>
      <c r="B514" s="1">
        <v>40554</v>
      </c>
    </row>
    <row r="515" spans="1:2" x14ac:dyDescent="0.3">
      <c r="A515">
        <v>6</v>
      </c>
      <c r="B515" s="1">
        <v>40555</v>
      </c>
    </row>
    <row r="516" spans="1:2" x14ac:dyDescent="0.3">
      <c r="A516">
        <v>6</v>
      </c>
      <c r="B516" s="1">
        <v>40563</v>
      </c>
    </row>
    <row r="517" spans="1:2" x14ac:dyDescent="0.3">
      <c r="A517">
        <v>6</v>
      </c>
      <c r="B517" s="1">
        <v>40564</v>
      </c>
    </row>
    <row r="518" spans="1:2" x14ac:dyDescent="0.3">
      <c r="A518">
        <v>5</v>
      </c>
      <c r="B518" s="1">
        <v>40546</v>
      </c>
    </row>
    <row r="519" spans="1:2" x14ac:dyDescent="0.3">
      <c r="A519">
        <v>5</v>
      </c>
      <c r="B519" s="1">
        <v>40547</v>
      </c>
    </row>
    <row r="520" spans="1:2" x14ac:dyDescent="0.3">
      <c r="A520">
        <v>5</v>
      </c>
      <c r="B520" s="1">
        <v>40550</v>
      </c>
    </row>
    <row r="521" spans="1:2" x14ac:dyDescent="0.3">
      <c r="A521">
        <v>5</v>
      </c>
      <c r="B521" s="1">
        <v>40551</v>
      </c>
    </row>
    <row r="522" spans="1:2" x14ac:dyDescent="0.3">
      <c r="A522">
        <v>5</v>
      </c>
      <c r="B522" s="1">
        <v>40553</v>
      </c>
    </row>
    <row r="523" spans="1:2" x14ac:dyDescent="0.3">
      <c r="A523">
        <v>5</v>
      </c>
      <c r="B523" s="1">
        <v>40555</v>
      </c>
    </row>
    <row r="524" spans="1:2" x14ac:dyDescent="0.3">
      <c r="A524">
        <v>5</v>
      </c>
      <c r="B524" s="1">
        <v>40557</v>
      </c>
    </row>
    <row r="525" spans="1:2" x14ac:dyDescent="0.3">
      <c r="A525">
        <v>5</v>
      </c>
      <c r="B525" s="1">
        <v>40558</v>
      </c>
    </row>
    <row r="526" spans="1:2" x14ac:dyDescent="0.3">
      <c r="A526">
        <v>5</v>
      </c>
      <c r="B526" s="1">
        <v>40560</v>
      </c>
    </row>
    <row r="527" spans="1:2" x14ac:dyDescent="0.3">
      <c r="A527">
        <v>5</v>
      </c>
      <c r="B527" s="1">
        <v>40563</v>
      </c>
    </row>
    <row r="528" spans="1:2" x14ac:dyDescent="0.3">
      <c r="A528">
        <v>5</v>
      </c>
      <c r="B528" s="1">
        <v>40564</v>
      </c>
    </row>
    <row r="529" spans="1:2" x14ac:dyDescent="0.3">
      <c r="A529">
        <v>5</v>
      </c>
      <c r="B529" s="1">
        <v>40566</v>
      </c>
    </row>
    <row r="530" spans="1:2" x14ac:dyDescent="0.3">
      <c r="A530">
        <v>5</v>
      </c>
      <c r="B530" s="1">
        <v>40567</v>
      </c>
    </row>
    <row r="531" spans="1:2" x14ac:dyDescent="0.3">
      <c r="A531">
        <v>5</v>
      </c>
      <c r="B531" s="1">
        <v>40568</v>
      </c>
    </row>
    <row r="532" spans="1:2" x14ac:dyDescent="0.3">
      <c r="A532">
        <v>5</v>
      </c>
      <c r="B532" s="1">
        <v>40569</v>
      </c>
    </row>
    <row r="533" spans="1:2" x14ac:dyDescent="0.3">
      <c r="A533">
        <v>4</v>
      </c>
      <c r="B533" s="1">
        <v>40547</v>
      </c>
    </row>
    <row r="534" spans="1:2" x14ac:dyDescent="0.3">
      <c r="A534">
        <v>4</v>
      </c>
      <c r="B534" s="1">
        <v>40549</v>
      </c>
    </row>
    <row r="535" spans="1:2" x14ac:dyDescent="0.3">
      <c r="A535">
        <v>4</v>
      </c>
      <c r="B535" s="1">
        <v>40549</v>
      </c>
    </row>
    <row r="536" spans="1:2" x14ac:dyDescent="0.3">
      <c r="A536">
        <v>4</v>
      </c>
      <c r="B536" s="1">
        <v>40552</v>
      </c>
    </row>
    <row r="537" spans="1:2" x14ac:dyDescent="0.3">
      <c r="A537">
        <v>4</v>
      </c>
      <c r="B537" s="1">
        <v>40556</v>
      </c>
    </row>
    <row r="538" spans="1:2" x14ac:dyDescent="0.3">
      <c r="A538">
        <v>4</v>
      </c>
      <c r="B538" s="1">
        <v>40560</v>
      </c>
    </row>
    <row r="539" spans="1:2" x14ac:dyDescent="0.3">
      <c r="A539">
        <v>4</v>
      </c>
      <c r="B539" s="1">
        <v>40571</v>
      </c>
    </row>
    <row r="540" spans="1:2" x14ac:dyDescent="0.3">
      <c r="A540">
        <v>3</v>
      </c>
      <c r="B540" s="1">
        <v>40544</v>
      </c>
    </row>
    <row r="541" spans="1:2" x14ac:dyDescent="0.3">
      <c r="A541">
        <v>3</v>
      </c>
      <c r="B541" s="1">
        <v>40545</v>
      </c>
    </row>
    <row r="542" spans="1:2" x14ac:dyDescent="0.3">
      <c r="A542">
        <v>3</v>
      </c>
      <c r="B542" s="1">
        <v>40546</v>
      </c>
    </row>
    <row r="543" spans="1:2" x14ac:dyDescent="0.3">
      <c r="A543">
        <v>3</v>
      </c>
      <c r="B543" s="1">
        <v>40548</v>
      </c>
    </row>
    <row r="544" spans="1:2" x14ac:dyDescent="0.3">
      <c r="A544">
        <v>3</v>
      </c>
      <c r="B544" s="1">
        <v>40553</v>
      </c>
    </row>
    <row r="545" spans="1:2" x14ac:dyDescent="0.3">
      <c r="A545">
        <v>3</v>
      </c>
      <c r="B545" s="1">
        <v>40553</v>
      </c>
    </row>
    <row r="546" spans="1:2" x14ac:dyDescent="0.3">
      <c r="A546">
        <v>3</v>
      </c>
      <c r="B546" s="1">
        <v>40553</v>
      </c>
    </row>
    <row r="547" spans="1:2" x14ac:dyDescent="0.3">
      <c r="A547">
        <v>3</v>
      </c>
      <c r="B547" s="1">
        <v>40554</v>
      </c>
    </row>
    <row r="548" spans="1:2" x14ac:dyDescent="0.3">
      <c r="A548">
        <v>3</v>
      </c>
      <c r="B548" s="1">
        <v>40554</v>
      </c>
    </row>
    <row r="549" spans="1:2" x14ac:dyDescent="0.3">
      <c r="A549">
        <v>3</v>
      </c>
      <c r="B549" s="1">
        <v>40556</v>
      </c>
    </row>
    <row r="550" spans="1:2" x14ac:dyDescent="0.3">
      <c r="A550">
        <v>3</v>
      </c>
      <c r="B550" s="1">
        <v>40556</v>
      </c>
    </row>
    <row r="551" spans="1:2" x14ac:dyDescent="0.3">
      <c r="A551">
        <v>3</v>
      </c>
      <c r="B551" s="1">
        <v>40558</v>
      </c>
    </row>
    <row r="552" spans="1:2" x14ac:dyDescent="0.3">
      <c r="A552">
        <v>3</v>
      </c>
      <c r="B552" s="1">
        <v>40559</v>
      </c>
    </row>
    <row r="553" spans="1:2" x14ac:dyDescent="0.3">
      <c r="A553">
        <v>3</v>
      </c>
      <c r="B553" s="1">
        <v>40560</v>
      </c>
    </row>
    <row r="554" spans="1:2" x14ac:dyDescent="0.3">
      <c r="A554">
        <v>3</v>
      </c>
      <c r="B554" s="1">
        <v>40561</v>
      </c>
    </row>
    <row r="555" spans="1:2" x14ac:dyDescent="0.3">
      <c r="A555">
        <v>3</v>
      </c>
      <c r="B555" s="1">
        <v>40562</v>
      </c>
    </row>
    <row r="556" spans="1:2" x14ac:dyDescent="0.3">
      <c r="A556">
        <v>3</v>
      </c>
      <c r="B556" s="1">
        <v>40562</v>
      </c>
    </row>
    <row r="557" spans="1:2" x14ac:dyDescent="0.3">
      <c r="A557">
        <v>3</v>
      </c>
      <c r="B557" s="1">
        <v>40565</v>
      </c>
    </row>
    <row r="558" spans="1:2" x14ac:dyDescent="0.3">
      <c r="A558">
        <v>3</v>
      </c>
      <c r="B558" s="1">
        <v>40566</v>
      </c>
    </row>
    <row r="559" spans="1:2" x14ac:dyDescent="0.3">
      <c r="A559">
        <v>3</v>
      </c>
      <c r="B559" s="1">
        <v>40571</v>
      </c>
    </row>
    <row r="560" spans="1:2" x14ac:dyDescent="0.3">
      <c r="A560">
        <v>2</v>
      </c>
      <c r="B560" s="1">
        <v>40544</v>
      </c>
    </row>
    <row r="561" spans="1:2" x14ac:dyDescent="0.3">
      <c r="A561">
        <v>2</v>
      </c>
      <c r="B561" s="1">
        <v>40545</v>
      </c>
    </row>
    <row r="562" spans="1:2" x14ac:dyDescent="0.3">
      <c r="A562">
        <v>2</v>
      </c>
      <c r="B562" s="1">
        <v>40546</v>
      </c>
    </row>
    <row r="563" spans="1:2" x14ac:dyDescent="0.3">
      <c r="A563">
        <v>2</v>
      </c>
      <c r="B563" s="1">
        <v>40547</v>
      </c>
    </row>
    <row r="564" spans="1:2" x14ac:dyDescent="0.3">
      <c r="A564">
        <v>2</v>
      </c>
      <c r="B564" s="1">
        <v>40547</v>
      </c>
    </row>
    <row r="565" spans="1:2" x14ac:dyDescent="0.3">
      <c r="A565">
        <v>2</v>
      </c>
      <c r="B565" s="1">
        <v>40548</v>
      </c>
    </row>
    <row r="566" spans="1:2" x14ac:dyDescent="0.3">
      <c r="A566">
        <v>2</v>
      </c>
      <c r="B566" s="1">
        <v>40548</v>
      </c>
    </row>
    <row r="567" spans="1:2" x14ac:dyDescent="0.3">
      <c r="A567">
        <v>2</v>
      </c>
      <c r="B567" s="1">
        <v>40549</v>
      </c>
    </row>
    <row r="568" spans="1:2" x14ac:dyDescent="0.3">
      <c r="A568">
        <v>2</v>
      </c>
      <c r="B568" s="1">
        <v>40551</v>
      </c>
    </row>
    <row r="569" spans="1:2" x14ac:dyDescent="0.3">
      <c r="A569">
        <v>2</v>
      </c>
      <c r="B569" s="1">
        <v>40556</v>
      </c>
    </row>
    <row r="570" spans="1:2" x14ac:dyDescent="0.3">
      <c r="A570">
        <v>2</v>
      </c>
      <c r="B570" s="1">
        <v>40556</v>
      </c>
    </row>
    <row r="571" spans="1:2" x14ac:dyDescent="0.3">
      <c r="A571">
        <v>2</v>
      </c>
      <c r="B571" s="1">
        <v>40559</v>
      </c>
    </row>
    <row r="572" spans="1:2" x14ac:dyDescent="0.3">
      <c r="A572">
        <v>2</v>
      </c>
      <c r="B572" s="1">
        <v>40560</v>
      </c>
    </row>
    <row r="573" spans="1:2" x14ac:dyDescent="0.3">
      <c r="A573">
        <v>2</v>
      </c>
      <c r="B573" s="1">
        <v>40562</v>
      </c>
    </row>
    <row r="574" spans="1:2" x14ac:dyDescent="0.3">
      <c r="A574">
        <v>2</v>
      </c>
      <c r="B574" s="1">
        <v>40563</v>
      </c>
    </row>
    <row r="575" spans="1:2" x14ac:dyDescent="0.3">
      <c r="A575">
        <v>2</v>
      </c>
      <c r="B575" s="1">
        <v>40564</v>
      </c>
    </row>
    <row r="576" spans="1:2" x14ac:dyDescent="0.3">
      <c r="A576">
        <v>2</v>
      </c>
      <c r="B576" s="1">
        <v>40565</v>
      </c>
    </row>
    <row r="577" spans="1:2" x14ac:dyDescent="0.3">
      <c r="A577">
        <v>2</v>
      </c>
      <c r="B577" s="1">
        <v>40566</v>
      </c>
    </row>
    <row r="578" spans="1:2" x14ac:dyDescent="0.3">
      <c r="A578">
        <v>2</v>
      </c>
      <c r="B578" s="1">
        <v>40568</v>
      </c>
    </row>
    <row r="579" spans="1:2" x14ac:dyDescent="0.3">
      <c r="A579">
        <v>2</v>
      </c>
      <c r="B579" s="1">
        <v>40571</v>
      </c>
    </row>
    <row r="580" spans="1:2" x14ac:dyDescent="0.3">
      <c r="A580">
        <v>1</v>
      </c>
      <c r="B580" s="1">
        <v>40544</v>
      </c>
    </row>
    <row r="581" spans="1:2" x14ac:dyDescent="0.3">
      <c r="A581">
        <v>1</v>
      </c>
      <c r="B581" s="1">
        <v>40544</v>
      </c>
    </row>
    <row r="582" spans="1:2" x14ac:dyDescent="0.3">
      <c r="A582">
        <v>1</v>
      </c>
      <c r="B582" s="1">
        <v>40545</v>
      </c>
    </row>
    <row r="583" spans="1:2" x14ac:dyDescent="0.3">
      <c r="A583">
        <v>1</v>
      </c>
      <c r="B583" s="1">
        <v>40546</v>
      </c>
    </row>
    <row r="584" spans="1:2" x14ac:dyDescent="0.3">
      <c r="A584">
        <v>1</v>
      </c>
      <c r="B584" s="1">
        <v>40547</v>
      </c>
    </row>
    <row r="585" spans="1:2" x14ac:dyDescent="0.3">
      <c r="A585">
        <v>1</v>
      </c>
      <c r="B585" s="1">
        <v>40549</v>
      </c>
    </row>
    <row r="586" spans="1:2" x14ac:dyDescent="0.3">
      <c r="A586">
        <v>1</v>
      </c>
      <c r="B586" s="1">
        <v>40550</v>
      </c>
    </row>
    <row r="587" spans="1:2" x14ac:dyDescent="0.3">
      <c r="A587">
        <v>1</v>
      </c>
      <c r="B587" s="1">
        <v>40550</v>
      </c>
    </row>
    <row r="588" spans="1:2" x14ac:dyDescent="0.3">
      <c r="A588">
        <v>1</v>
      </c>
      <c r="B588" s="1">
        <v>40551</v>
      </c>
    </row>
    <row r="589" spans="1:2" x14ac:dyDescent="0.3">
      <c r="A589">
        <v>1</v>
      </c>
      <c r="B589" s="1">
        <v>40552</v>
      </c>
    </row>
    <row r="590" spans="1:2" x14ac:dyDescent="0.3">
      <c r="A590">
        <v>1</v>
      </c>
      <c r="B590" s="1">
        <v>40552</v>
      </c>
    </row>
    <row r="591" spans="1:2" x14ac:dyDescent="0.3">
      <c r="A591">
        <v>1</v>
      </c>
      <c r="B591" s="1">
        <v>40553</v>
      </c>
    </row>
    <row r="592" spans="1:2" x14ac:dyDescent="0.3">
      <c r="A592">
        <v>1</v>
      </c>
      <c r="B592" s="1">
        <v>40553</v>
      </c>
    </row>
    <row r="593" spans="1:2" x14ac:dyDescent="0.3">
      <c r="A593">
        <v>1</v>
      </c>
      <c r="B593" s="1">
        <v>40555</v>
      </c>
    </row>
    <row r="594" spans="1:2" x14ac:dyDescent="0.3">
      <c r="A594">
        <v>1</v>
      </c>
      <c r="B594" s="1">
        <v>40557</v>
      </c>
    </row>
    <row r="595" spans="1:2" x14ac:dyDescent="0.3">
      <c r="A595">
        <v>1</v>
      </c>
      <c r="B595" s="1">
        <v>40557</v>
      </c>
    </row>
    <row r="596" spans="1:2" x14ac:dyDescent="0.3">
      <c r="A596">
        <v>1</v>
      </c>
      <c r="B596" s="1">
        <v>40558</v>
      </c>
    </row>
    <row r="597" spans="1:2" x14ac:dyDescent="0.3">
      <c r="A597">
        <v>1</v>
      </c>
      <c r="B597" s="1">
        <v>40559</v>
      </c>
    </row>
    <row r="598" spans="1:2" x14ac:dyDescent="0.3">
      <c r="A598">
        <v>1</v>
      </c>
      <c r="B598" s="1">
        <v>40560</v>
      </c>
    </row>
    <row r="599" spans="1:2" x14ac:dyDescent="0.3">
      <c r="A599">
        <v>1</v>
      </c>
      <c r="B599" s="1">
        <v>40564</v>
      </c>
    </row>
    <row r="600" spans="1:2" x14ac:dyDescent="0.3">
      <c r="A600">
        <v>1</v>
      </c>
      <c r="B600" s="1">
        <v>40564</v>
      </c>
    </row>
    <row r="601" spans="1:2" x14ac:dyDescent="0.3">
      <c r="A601">
        <v>1</v>
      </c>
      <c r="B601" s="1">
        <v>40566</v>
      </c>
    </row>
    <row r="602" spans="1:2" x14ac:dyDescent="0.3">
      <c r="A602">
        <v>1</v>
      </c>
      <c r="B602" s="1">
        <v>40567</v>
      </c>
    </row>
    <row r="603" spans="1:2" x14ac:dyDescent="0.3">
      <c r="A603">
        <v>1</v>
      </c>
      <c r="B603" s="1">
        <v>40567</v>
      </c>
    </row>
    <row r="604" spans="1:2" x14ac:dyDescent="0.3">
      <c r="A604">
        <v>1</v>
      </c>
      <c r="B604" s="1">
        <v>40567</v>
      </c>
    </row>
    <row r="605" spans="1:2" x14ac:dyDescent="0.3">
      <c r="A605">
        <v>1</v>
      </c>
      <c r="B605" s="1">
        <v>40568</v>
      </c>
    </row>
    <row r="606" spans="1:2" x14ac:dyDescent="0.3">
      <c r="A606">
        <v>1</v>
      </c>
      <c r="B606" s="1">
        <v>40569</v>
      </c>
    </row>
    <row r="607" spans="1:2" x14ac:dyDescent="0.3">
      <c r="A607">
        <v>1</v>
      </c>
      <c r="B607" s="1">
        <v>40571</v>
      </c>
    </row>
  </sheetData>
  <conditionalFormatting sqref="A2:A607">
    <cfRule type="top10" dxfId="4" priority="2" percent="1" rank="10"/>
  </conditionalFormatting>
  <conditionalFormatting sqref="A4:A60">
    <cfRule type="top10" dxfId="3" priority="1" percent="1" rank="10"/>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EF9F6-7CC1-42DF-9FA3-47AC89F66171}">
  <dimension ref="A1:E27"/>
  <sheetViews>
    <sheetView workbookViewId="0">
      <selection activeCell="E27" sqref="E27"/>
    </sheetView>
  </sheetViews>
  <sheetFormatPr defaultRowHeight="14.4" x14ac:dyDescent="0.3"/>
  <cols>
    <col min="1" max="1" width="12.5546875" bestFit="1" customWidth="1"/>
    <col min="2" max="2" width="20.44140625" bestFit="1" customWidth="1"/>
    <col min="5" max="5" width="20.33203125" customWidth="1"/>
  </cols>
  <sheetData>
    <row r="1" spans="1:2" x14ac:dyDescent="0.3">
      <c r="A1" s="2" t="s">
        <v>27</v>
      </c>
      <c r="B1" t="s">
        <v>26</v>
      </c>
    </row>
    <row r="2" spans="1:2" x14ac:dyDescent="0.3">
      <c r="A2" s="3">
        <v>0</v>
      </c>
      <c r="B2" s="4">
        <v>26</v>
      </c>
    </row>
    <row r="3" spans="1:2" x14ac:dyDescent="0.3">
      <c r="A3" s="3">
        <v>1</v>
      </c>
      <c r="B3" s="4">
        <v>26</v>
      </c>
    </row>
    <row r="4" spans="1:2" x14ac:dyDescent="0.3">
      <c r="A4" s="3">
        <v>2</v>
      </c>
      <c r="B4" s="4">
        <v>24</v>
      </c>
    </row>
    <row r="5" spans="1:2" x14ac:dyDescent="0.3">
      <c r="A5" s="3">
        <v>3</v>
      </c>
      <c r="B5" s="4">
        <v>15</v>
      </c>
    </row>
    <row r="6" spans="1:2" x14ac:dyDescent="0.3">
      <c r="A6" s="3">
        <v>4</v>
      </c>
      <c r="B6" s="4">
        <v>19</v>
      </c>
    </row>
    <row r="7" spans="1:2" x14ac:dyDescent="0.3">
      <c r="A7" s="3">
        <v>5</v>
      </c>
      <c r="B7" s="4">
        <v>23</v>
      </c>
    </row>
    <row r="8" spans="1:2" x14ac:dyDescent="0.3">
      <c r="A8" s="3">
        <v>6</v>
      </c>
      <c r="B8" s="4">
        <v>25</v>
      </c>
    </row>
    <row r="9" spans="1:2" x14ac:dyDescent="0.3">
      <c r="A9" s="3">
        <v>7</v>
      </c>
      <c r="B9" s="4">
        <v>26</v>
      </c>
    </row>
    <row r="10" spans="1:2" x14ac:dyDescent="0.3">
      <c r="A10" s="3">
        <v>8</v>
      </c>
      <c r="B10" s="4">
        <v>26</v>
      </c>
    </row>
    <row r="11" spans="1:2" x14ac:dyDescent="0.3">
      <c r="A11" s="3">
        <v>9</v>
      </c>
      <c r="B11" s="4">
        <v>26</v>
      </c>
    </row>
    <row r="12" spans="1:2" x14ac:dyDescent="0.3">
      <c r="A12" s="3">
        <v>10</v>
      </c>
      <c r="B12" s="4">
        <v>26</v>
      </c>
    </row>
    <row r="13" spans="1:2" x14ac:dyDescent="0.3">
      <c r="A13" s="3">
        <v>11</v>
      </c>
      <c r="B13" s="4">
        <v>26</v>
      </c>
    </row>
    <row r="14" spans="1:2" x14ac:dyDescent="0.3">
      <c r="A14" s="3">
        <v>12</v>
      </c>
      <c r="B14" s="4">
        <v>27</v>
      </c>
    </row>
    <row r="15" spans="1:2" x14ac:dyDescent="0.3">
      <c r="A15" s="3">
        <v>13</v>
      </c>
      <c r="B15" s="4">
        <v>27</v>
      </c>
    </row>
    <row r="16" spans="1:2" x14ac:dyDescent="0.3">
      <c r="A16" s="3">
        <v>14</v>
      </c>
      <c r="B16" s="4">
        <v>27</v>
      </c>
    </row>
    <row r="17" spans="1:5" x14ac:dyDescent="0.3">
      <c r="A17" s="3">
        <v>15</v>
      </c>
      <c r="B17" s="4">
        <v>27</v>
      </c>
    </row>
    <row r="18" spans="1:5" x14ac:dyDescent="0.3">
      <c r="A18" s="3">
        <v>16</v>
      </c>
      <c r="B18" s="4">
        <v>27</v>
      </c>
    </row>
    <row r="19" spans="1:5" x14ac:dyDescent="0.3">
      <c r="A19" s="3">
        <v>17</v>
      </c>
      <c r="B19" s="4">
        <v>27</v>
      </c>
    </row>
    <row r="20" spans="1:5" x14ac:dyDescent="0.3">
      <c r="A20" s="3">
        <v>18</v>
      </c>
      <c r="B20" s="4">
        <v>26</v>
      </c>
    </row>
    <row r="21" spans="1:5" x14ac:dyDescent="0.3">
      <c r="A21" s="3">
        <v>19</v>
      </c>
      <c r="B21" s="4">
        <v>26</v>
      </c>
    </row>
    <row r="22" spans="1:5" x14ac:dyDescent="0.3">
      <c r="A22" s="3">
        <v>20</v>
      </c>
      <c r="B22" s="4">
        <v>26</v>
      </c>
    </row>
    <row r="23" spans="1:5" x14ac:dyDescent="0.3">
      <c r="A23" s="3">
        <v>21</v>
      </c>
      <c r="B23" s="4">
        <v>26</v>
      </c>
    </row>
    <row r="24" spans="1:5" x14ac:dyDescent="0.3">
      <c r="A24" s="3">
        <v>22</v>
      </c>
      <c r="B24" s="4">
        <v>26</v>
      </c>
    </row>
    <row r="25" spans="1:5" x14ac:dyDescent="0.3">
      <c r="A25" s="3">
        <v>23</v>
      </c>
      <c r="B25" s="4">
        <v>26</v>
      </c>
    </row>
    <row r="26" spans="1:5" x14ac:dyDescent="0.3">
      <c r="A26" s="3" t="s">
        <v>31</v>
      </c>
      <c r="B26" s="4"/>
    </row>
    <row r="27" spans="1:5" x14ac:dyDescent="0.3">
      <c r="A27" s="3" t="s">
        <v>28</v>
      </c>
      <c r="B27" s="4">
        <v>606</v>
      </c>
      <c r="E27" s="6" t="s">
        <v>32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0A01B-7842-4C6D-BEAA-D8EDADD7FDCD}">
  <dimension ref="A3:D31"/>
  <sheetViews>
    <sheetView workbookViewId="0">
      <selection activeCell="I23" sqref="I23"/>
    </sheetView>
  </sheetViews>
  <sheetFormatPr defaultRowHeight="14.4" x14ac:dyDescent="0.3"/>
  <cols>
    <col min="1" max="1" width="12.5546875" bestFit="1" customWidth="1"/>
    <col min="2" max="2" width="20.44140625" bestFit="1" customWidth="1"/>
    <col min="3" max="3" width="10.77734375" bestFit="1" customWidth="1"/>
    <col min="4" max="4" width="24.88671875" bestFit="1" customWidth="1"/>
  </cols>
  <sheetData>
    <row r="3" spans="1:2" x14ac:dyDescent="0.3">
      <c r="A3" s="2" t="s">
        <v>27</v>
      </c>
      <c r="B3" t="s">
        <v>26</v>
      </c>
    </row>
    <row r="4" spans="1:2" x14ac:dyDescent="0.3">
      <c r="A4" s="5">
        <v>40544</v>
      </c>
      <c r="B4" s="4">
        <v>4</v>
      </c>
    </row>
    <row r="5" spans="1:2" x14ac:dyDescent="0.3">
      <c r="A5" s="5">
        <v>40545</v>
      </c>
      <c r="B5" s="4">
        <v>4</v>
      </c>
    </row>
    <row r="6" spans="1:2" x14ac:dyDescent="0.3">
      <c r="A6" s="5">
        <v>40546</v>
      </c>
      <c r="B6" s="4">
        <v>4</v>
      </c>
    </row>
    <row r="7" spans="1:2" x14ac:dyDescent="0.3">
      <c r="A7" s="5">
        <v>40547</v>
      </c>
      <c r="B7" s="4">
        <v>5</v>
      </c>
    </row>
    <row r="8" spans="1:2" x14ac:dyDescent="0.3">
      <c r="A8" s="5">
        <v>40548</v>
      </c>
      <c r="B8" s="4">
        <v>5</v>
      </c>
    </row>
    <row r="9" spans="1:2" x14ac:dyDescent="0.3">
      <c r="A9" s="5">
        <v>40549</v>
      </c>
      <c r="B9" s="4">
        <v>4</v>
      </c>
    </row>
    <row r="10" spans="1:2" x14ac:dyDescent="0.3">
      <c r="A10" s="5">
        <v>40550</v>
      </c>
      <c r="B10" s="4">
        <v>4</v>
      </c>
    </row>
    <row r="11" spans="1:2" x14ac:dyDescent="0.3">
      <c r="A11" s="5">
        <v>40551</v>
      </c>
      <c r="B11" s="4">
        <v>4</v>
      </c>
    </row>
    <row r="12" spans="1:2" x14ac:dyDescent="0.3">
      <c r="A12" s="5">
        <v>40552</v>
      </c>
      <c r="B12" s="4">
        <v>5</v>
      </c>
    </row>
    <row r="13" spans="1:2" x14ac:dyDescent="0.3">
      <c r="A13" s="5">
        <v>40553</v>
      </c>
      <c r="B13" s="4">
        <v>6</v>
      </c>
    </row>
    <row r="14" spans="1:2" x14ac:dyDescent="0.3">
      <c r="A14" s="5">
        <v>40554</v>
      </c>
      <c r="B14" s="4">
        <v>4</v>
      </c>
    </row>
    <row r="15" spans="1:2" x14ac:dyDescent="0.3">
      <c r="A15" s="5">
        <v>40555</v>
      </c>
      <c r="B15" s="4">
        <v>4</v>
      </c>
    </row>
    <row r="16" spans="1:2" x14ac:dyDescent="0.3">
      <c r="A16" s="5">
        <v>40556</v>
      </c>
      <c r="B16" s="4">
        <v>6</v>
      </c>
    </row>
    <row r="17" spans="1:4" x14ac:dyDescent="0.3">
      <c r="A17" s="5">
        <v>40557</v>
      </c>
      <c r="B17" s="4">
        <v>3</v>
      </c>
    </row>
    <row r="18" spans="1:4" x14ac:dyDescent="0.3">
      <c r="A18" s="5">
        <v>40558</v>
      </c>
      <c r="B18" s="4">
        <v>4</v>
      </c>
      <c r="D18" s="7" t="s">
        <v>30</v>
      </c>
    </row>
    <row r="19" spans="1:4" x14ac:dyDescent="0.3">
      <c r="A19" s="5">
        <v>40559</v>
      </c>
      <c r="B19" s="4">
        <v>3</v>
      </c>
    </row>
    <row r="20" spans="1:4" x14ac:dyDescent="0.3">
      <c r="A20" s="5">
        <v>40560</v>
      </c>
      <c r="B20" s="4">
        <v>4</v>
      </c>
    </row>
    <row r="21" spans="1:4" x14ac:dyDescent="0.3">
      <c r="A21" s="5">
        <v>40561</v>
      </c>
      <c r="B21" s="4">
        <v>1</v>
      </c>
    </row>
    <row r="22" spans="1:4" x14ac:dyDescent="0.3">
      <c r="A22" s="5">
        <v>40562</v>
      </c>
      <c r="B22" s="4">
        <v>5</v>
      </c>
    </row>
    <row r="23" spans="1:4" x14ac:dyDescent="0.3">
      <c r="A23" s="5">
        <v>40563</v>
      </c>
      <c r="B23" s="4">
        <v>3</v>
      </c>
    </row>
    <row r="24" spans="1:4" x14ac:dyDescent="0.3">
      <c r="A24" s="5">
        <v>40564</v>
      </c>
      <c r="B24" s="4">
        <v>5</v>
      </c>
    </row>
    <row r="25" spans="1:4" x14ac:dyDescent="0.3">
      <c r="A25" s="5">
        <v>40565</v>
      </c>
      <c r="B25" s="4">
        <v>4</v>
      </c>
    </row>
    <row r="26" spans="1:4" x14ac:dyDescent="0.3">
      <c r="A26" s="5">
        <v>40566</v>
      </c>
      <c r="B26" s="4">
        <v>4</v>
      </c>
    </row>
    <row r="27" spans="1:4" x14ac:dyDescent="0.3">
      <c r="A27" s="5">
        <v>40567</v>
      </c>
      <c r="B27" s="4">
        <v>5</v>
      </c>
    </row>
    <row r="28" spans="1:4" x14ac:dyDescent="0.3">
      <c r="A28" s="5">
        <v>40568</v>
      </c>
      <c r="B28" s="4">
        <v>3</v>
      </c>
    </row>
    <row r="29" spans="1:4" x14ac:dyDescent="0.3">
      <c r="A29" s="5">
        <v>40569</v>
      </c>
      <c r="B29" s="4">
        <v>2</v>
      </c>
    </row>
    <row r="30" spans="1:4" x14ac:dyDescent="0.3">
      <c r="A30" s="5">
        <v>40571</v>
      </c>
      <c r="B30" s="4">
        <v>4</v>
      </c>
    </row>
    <row r="31" spans="1:4" x14ac:dyDescent="0.3">
      <c r="A31" s="5" t="s">
        <v>28</v>
      </c>
      <c r="B31" s="4">
        <v>109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CE740B-58DC-4393-9102-34F31CE3FA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dataset_3</vt:lpstr>
      <vt:lpstr>dataset_2</vt:lpstr>
      <vt:lpstr>dataset_1</vt:lpstr>
      <vt:lpstr>Bar Chart for Casual Chart</vt:lpstr>
      <vt:lpstr>Clustered Column Chart </vt:lpstr>
      <vt:lpstr>Heatmap Chart</vt:lpstr>
      <vt:lpstr>Stacked Bar Chart</vt:lpstr>
      <vt:lpstr>Merged_Dataset</vt:lpstr>
      <vt:lpstr>Forecast Sheet 2</vt:lpstr>
      <vt:lpstr>Forecast Sheet</vt:lpstr>
      <vt:lpstr>Column Chart </vt:lpstr>
      <vt:lpstr>Linechart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Harsh Ranjan</cp:lastModifiedBy>
  <dcterms:created xsi:type="dcterms:W3CDTF">2015-06-05T18:17:20Z</dcterms:created>
  <dcterms:modified xsi:type="dcterms:W3CDTF">2026-01-11T06:22:57Z</dcterms:modified>
</cp:coreProperties>
</file>